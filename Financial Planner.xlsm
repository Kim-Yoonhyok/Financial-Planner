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ofwaterloo-my.sharepoint.com/personal/y9kim_uwaterloo_ca/Documents/Term 1A/MSCI 100/Individual Project/"/>
    </mc:Choice>
  </mc:AlternateContent>
  <xr:revisionPtr revIDLastSave="77" documentId="13_ncr:20001_{7F3E4A1B-5494-4A9A-AD94-6D960B4206B9}" xr6:coauthVersionLast="47" xr6:coauthVersionMax="47" xr10:uidLastSave="{ED613471-0BAA-4D0E-9AF4-B241617631FC}"/>
  <bookViews>
    <workbookView xWindow="3350" yWindow="2270" windowWidth="16920" windowHeight="10640" activeTab="2" xr2:uid="{645810EE-EA5B-4C9F-B6AB-5F6F530E5995}"/>
  </bookViews>
  <sheets>
    <sheet name="Dashboard" sheetId="9" r:id="rId1"/>
    <sheet name="Income" sheetId="21" r:id="rId2"/>
    <sheet name="Expenses" sheetId="22" r:id="rId3"/>
    <sheet name="Goals" sheetId="23" r:id="rId4"/>
    <sheet name="DataBase" sheetId="16" state="hidden" r:id="rId5"/>
  </sheets>
  <definedNames>
    <definedName name="expensesList">DataBase!$G$1:$G$4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16" l="1"/>
  <c r="B14" i="16"/>
  <c r="T42" i="22"/>
  <c r="B7" i="16" s="1"/>
  <c r="E4" i="16"/>
  <c r="D4" i="16"/>
  <c r="E5" i="16" l="1"/>
  <c r="D5" i="16"/>
  <c r="B9" i="16"/>
  <c r="B16" i="16" l="1"/>
</calcChain>
</file>

<file path=xl/sharedStrings.xml><?xml version="1.0" encoding="utf-8"?>
<sst xmlns="http://schemas.openxmlformats.org/spreadsheetml/2006/main" count="26" uniqueCount="23">
  <si>
    <t>Balance</t>
  </si>
  <si>
    <t>Income</t>
  </si>
  <si>
    <t>Budget</t>
  </si>
  <si>
    <t>Current Date</t>
  </si>
  <si>
    <t>StartDate</t>
  </si>
  <si>
    <t>Month</t>
  </si>
  <si>
    <t>Year</t>
  </si>
  <si>
    <t>Bills</t>
  </si>
  <si>
    <t>Rent</t>
  </si>
  <si>
    <t xml:space="preserve">Date </t>
  </si>
  <si>
    <t>Item</t>
  </si>
  <si>
    <t>Price</t>
  </si>
  <si>
    <t>Category</t>
  </si>
  <si>
    <t>Date</t>
  </si>
  <si>
    <t xml:space="preserve">Total: </t>
  </si>
  <si>
    <t>Total Expenses</t>
  </si>
  <si>
    <t xml:space="preserve">Current Budget </t>
  </si>
  <si>
    <t>Save Goal</t>
  </si>
  <si>
    <t>Invest Goal</t>
  </si>
  <si>
    <t>Payment Goal</t>
  </si>
  <si>
    <t>Total</t>
  </si>
  <si>
    <t>New Balance</t>
  </si>
  <si>
    <t>00-00-00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</si>
</sst>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\-yyyy;@"/>
    <numFmt numFmtId="165" formatCode="yyyy\-mm\-dd;@"/>
  </numFmts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0" xfId="0" applyFont="1" applyFill="1"/>
    <xf numFmtId="14" fontId="0" fillId="0" borderId="0" xfId="0" applyNumberFormat="1"/>
    <xf numFmtId="164" fontId="0" fillId="0" borderId="0" xfId="0" applyNumberFormat="1"/>
    <xf numFmtId="14" fontId="1" fillId="2" borderId="0" xfId="0" applyNumberFormat="1" applyFont="1" applyFill="1"/>
    <xf numFmtId="0" fontId="1" fillId="3" borderId="0" xfId="0" applyFont="1" applyFill="1"/>
    <xf numFmtId="14" fontId="1" fillId="3" borderId="0" xfId="0" applyNumberFormat="1" applyFont="1" applyFill="1"/>
    <xf numFmtId="0" fontId="4" fillId="3" borderId="0" xfId="0" applyFont="1" applyFill="1"/>
    <xf numFmtId="14" fontId="3" fillId="3" borderId="0" xfId="0" applyNumberFormat="1" applyFont="1" applyFill="1"/>
    <xf numFmtId="0" fontId="3" fillId="3" borderId="0" xfId="0" applyFont="1" applyFill="1" applyAlignment="1">
      <alignment horizontal="center"/>
    </xf>
    <xf numFmtId="0" fontId="3" fillId="3" borderId="0" xfId="0" applyFont="1" applyFill="1" applyAlignment="1">
      <alignment horizontal="right"/>
    </xf>
    <xf numFmtId="0" fontId="3" fillId="3" borderId="0" xfId="0" applyFont="1" applyFill="1"/>
    <xf numFmtId="165" fontId="0" fillId="0" borderId="0" xfId="0" applyNumberFormat="1"/>
    <xf numFmtId="2" fontId="0" fillId="0" borderId="0" xfId="0" applyNumberFormat="1"/>
    <xf numFmtId="1" fontId="3" fillId="3" borderId="0" xfId="0" applyNumberFormat="1" applyFont="1" applyFill="1" applyAlignment="1">
      <alignment horizontal="right"/>
    </xf>
    <xf numFmtId="2" fontId="3" fillId="3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2F0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Chart</a:t>
            </a:r>
            <a:r>
              <a:rPr lang="en-CA" baseline="0"/>
              <a:t> of Money vs. Expenses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F8-448E-AB90-38FFA41E11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7F8-448E-AB90-38FFA41E11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7F8-448E-AB90-38FFA41E11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7F8-448E-AB90-38FFA41E110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7F8-448E-AB90-38FFA41E11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(DataBase!$A$1:$A$3,DataBase!$A$7,DataBase!$A$9)</c:f>
              <c:strCache>
                <c:ptCount val="5"/>
                <c:pt idx="0">
                  <c:v>Balance</c:v>
                </c:pt>
                <c:pt idx="1">
                  <c:v>Income</c:v>
                </c:pt>
                <c:pt idx="2">
                  <c:v>Budget</c:v>
                </c:pt>
                <c:pt idx="3">
                  <c:v>Total Expenses</c:v>
                </c:pt>
                <c:pt idx="4">
                  <c:v>Current Budget </c:v>
                </c:pt>
              </c:strCache>
            </c:strRef>
          </c:cat>
          <c:val>
            <c:numRef>
              <c:f>(DataBase!$B$1:$B$3,DataBase!$B$7,DataBase!$B$9)</c:f>
              <c:numCache>
                <c:formatCode>0.00</c:formatCode>
                <c:ptCount val="5"/>
                <c:pt idx="0">
                  <c:v>1000</c:v>
                </c:pt>
                <c:pt idx="1">
                  <c:v>0</c:v>
                </c:pt>
                <c:pt idx="2">
                  <c:v>1000</c:v>
                </c:pt>
                <c:pt idx="3">
                  <c:v>0</c:v>
                </c:pt>
                <c:pt idx="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7F8-448E-AB90-38FFA41E110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Current Budget vs.</a:t>
            </a:r>
            <a:r>
              <a:rPr lang="en-CA" baseline="0"/>
              <a:t> Total Expenses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(DataBase!$A$7,DataBase!$A$9)</c:f>
              <c:strCache>
                <c:ptCount val="2"/>
                <c:pt idx="0">
                  <c:v>Total Expenses</c:v>
                </c:pt>
                <c:pt idx="1">
                  <c:v>Current Budget </c:v>
                </c:pt>
              </c:strCache>
            </c:strRef>
          </c:cat>
          <c:val>
            <c:numRef>
              <c:f>(DataBase!$B$7,DataBase!$B$9)</c:f>
              <c:numCache>
                <c:formatCode>0.00</c:formatCode>
                <c:ptCount val="2"/>
                <c:pt idx="0">
                  <c:v>0</c:v>
                </c:pt>
                <c:pt idx="1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DA-4148-841E-E4CED0F11B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7727551"/>
        <c:axId val="357721311"/>
      </c:lineChart>
      <c:catAx>
        <c:axId val="3577275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721311"/>
        <c:crosses val="autoZero"/>
        <c:auto val="1"/>
        <c:lblAlgn val="ctr"/>
        <c:lblOffset val="100"/>
        <c:noMultiLvlLbl val="0"/>
      </c:catAx>
      <c:valAx>
        <c:axId val="357721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Amount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727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Expenses!A1"/><Relationship Id="rId13" Type="http://schemas.openxmlformats.org/officeDocument/2006/relationships/chart" Target="../charts/chart2.xml"/><Relationship Id="rId3" Type="http://schemas.openxmlformats.org/officeDocument/2006/relationships/image" Target="../media/image2.png"/><Relationship Id="rId7" Type="http://schemas.openxmlformats.org/officeDocument/2006/relationships/hyperlink" Target="#Income!A1"/><Relationship Id="rId12" Type="http://schemas.openxmlformats.org/officeDocument/2006/relationships/chart" Target="../charts/chart1.xml"/><Relationship Id="rId2" Type="http://schemas.openxmlformats.org/officeDocument/2006/relationships/hyperlink" Target="#Dashboard!A1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11" Type="http://schemas.openxmlformats.org/officeDocument/2006/relationships/image" Target="../media/image7.svg"/><Relationship Id="rId5" Type="http://schemas.openxmlformats.org/officeDocument/2006/relationships/image" Target="../media/image4.png"/><Relationship Id="rId10" Type="http://schemas.openxmlformats.org/officeDocument/2006/relationships/image" Target="../media/image6.png"/><Relationship Id="rId4" Type="http://schemas.openxmlformats.org/officeDocument/2006/relationships/image" Target="../media/image3.svg"/><Relationship Id="rId9" Type="http://schemas.openxmlformats.org/officeDocument/2006/relationships/hyperlink" Target="#Goals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Expenses!A1"/><Relationship Id="rId3" Type="http://schemas.openxmlformats.org/officeDocument/2006/relationships/image" Target="../media/image2.png"/><Relationship Id="rId7" Type="http://schemas.openxmlformats.org/officeDocument/2006/relationships/hyperlink" Target="#Income!A1"/><Relationship Id="rId2" Type="http://schemas.openxmlformats.org/officeDocument/2006/relationships/hyperlink" Target="#Dashboard!A1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11" Type="http://schemas.openxmlformats.org/officeDocument/2006/relationships/image" Target="../media/image7.svg"/><Relationship Id="rId5" Type="http://schemas.openxmlformats.org/officeDocument/2006/relationships/image" Target="../media/image4.png"/><Relationship Id="rId10" Type="http://schemas.openxmlformats.org/officeDocument/2006/relationships/image" Target="../media/image6.png"/><Relationship Id="rId4" Type="http://schemas.openxmlformats.org/officeDocument/2006/relationships/image" Target="../media/image3.svg"/><Relationship Id="rId9" Type="http://schemas.openxmlformats.org/officeDocument/2006/relationships/hyperlink" Target="#Goals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Expenses!A1"/><Relationship Id="rId3" Type="http://schemas.openxmlformats.org/officeDocument/2006/relationships/image" Target="../media/image2.png"/><Relationship Id="rId7" Type="http://schemas.openxmlformats.org/officeDocument/2006/relationships/hyperlink" Target="#Income!A1"/><Relationship Id="rId2" Type="http://schemas.openxmlformats.org/officeDocument/2006/relationships/hyperlink" Target="#Dashboard!A1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11" Type="http://schemas.openxmlformats.org/officeDocument/2006/relationships/image" Target="../media/image7.svg"/><Relationship Id="rId5" Type="http://schemas.openxmlformats.org/officeDocument/2006/relationships/image" Target="../media/image4.png"/><Relationship Id="rId10" Type="http://schemas.openxmlformats.org/officeDocument/2006/relationships/image" Target="../media/image6.png"/><Relationship Id="rId4" Type="http://schemas.openxmlformats.org/officeDocument/2006/relationships/image" Target="../media/image3.svg"/><Relationship Id="rId9" Type="http://schemas.openxmlformats.org/officeDocument/2006/relationships/hyperlink" Target="#Goals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Expenses!A1"/><Relationship Id="rId3" Type="http://schemas.openxmlformats.org/officeDocument/2006/relationships/image" Target="../media/image2.png"/><Relationship Id="rId7" Type="http://schemas.openxmlformats.org/officeDocument/2006/relationships/hyperlink" Target="#Income!A1"/><Relationship Id="rId2" Type="http://schemas.openxmlformats.org/officeDocument/2006/relationships/hyperlink" Target="#Dashboard!A1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11" Type="http://schemas.openxmlformats.org/officeDocument/2006/relationships/image" Target="../media/image7.svg"/><Relationship Id="rId5" Type="http://schemas.openxmlformats.org/officeDocument/2006/relationships/image" Target="../media/image4.png"/><Relationship Id="rId10" Type="http://schemas.openxmlformats.org/officeDocument/2006/relationships/image" Target="../media/image6.png"/><Relationship Id="rId4" Type="http://schemas.openxmlformats.org/officeDocument/2006/relationships/image" Target="../media/image3.svg"/><Relationship Id="rId9" Type="http://schemas.openxmlformats.org/officeDocument/2006/relationships/hyperlink" Target="#Goal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31200</xdr:colOff>
      <xdr:row>50</xdr:row>
      <xdr:rowOff>82550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2469600" cy="9290050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29680</xdr:colOff>
      <xdr:row>2</xdr:row>
      <xdr:rowOff>127552</xdr:rowOff>
    </xdr:from>
    <xdr:to>
      <xdr:col>4</xdr:col>
      <xdr:colOff>29680</xdr:colOff>
      <xdr:row>47</xdr:row>
      <xdr:rowOff>51354</xdr:rowOff>
    </xdr:to>
    <xdr:sp macro="" textlink="">
      <xdr:nvSpPr>
        <xdr:cNvPr id="3" name="Rectangle: Top Corners Rounded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-2517850" y="3648495"/>
          <a:ext cx="8136976" cy="1825150"/>
        </a:xfrm>
        <a:prstGeom prst="round2Same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endParaRPr lang="en-CA" sz="1100"/>
        </a:p>
      </xdr:txBody>
    </xdr:sp>
    <xdr:clientData/>
  </xdr:twoCellAnchor>
  <xdr:twoCellAnchor>
    <xdr:from>
      <xdr:col>4</xdr:col>
      <xdr:colOff>44450</xdr:colOff>
      <xdr:row>2</xdr:row>
      <xdr:rowOff>120650</xdr:rowOff>
    </xdr:from>
    <xdr:to>
      <xdr:col>22</xdr:col>
      <xdr:colOff>533400</xdr:colOff>
      <xdr:row>47</xdr:row>
      <xdr:rowOff>44452</xdr:rowOff>
    </xdr:to>
    <xdr:sp macro="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rot="5400000">
          <a:off x="4108449" y="-1136649"/>
          <a:ext cx="8210552" cy="11461750"/>
        </a:xfrm>
        <a:prstGeom prst="round2SameRect">
          <a:avLst>
            <a:gd name="adj1" fmla="val 4370"/>
            <a:gd name="adj2" fmla="val 0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endParaRPr lang="en-CA" sz="1100"/>
        </a:p>
      </xdr:txBody>
    </xdr:sp>
    <xdr:clientData/>
  </xdr:twoCellAnchor>
  <xdr:twoCellAnchor>
    <xdr:from>
      <xdr:col>1</xdr:col>
      <xdr:colOff>439186</xdr:colOff>
      <xdr:row>8</xdr:row>
      <xdr:rowOff>134312</xdr:rowOff>
    </xdr:from>
    <xdr:to>
      <xdr:col>4</xdr:col>
      <xdr:colOff>41965</xdr:colOff>
      <xdr:row>13</xdr:row>
      <xdr:rowOff>166276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1048786" y="1607512"/>
          <a:ext cx="1431579" cy="952714"/>
          <a:chOff x="625475" y="488950"/>
          <a:chExt cx="1432174" cy="952968"/>
        </a:xfrm>
        <a:solidFill>
          <a:schemeClr val="bg2"/>
        </a:solidFill>
      </xdr:grpSpPr>
      <xdr:sp macro="" textlink="">
        <xdr:nvSpPr>
          <xdr:cNvPr id="6" name="Rectangle: Top Corners Rounded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16200000">
            <a:off x="945875" y="370213"/>
            <a:ext cx="547200" cy="1188000"/>
          </a:xfrm>
          <a:prstGeom prst="round2SameRect">
            <a:avLst>
              <a:gd name="adj1" fmla="val 50000"/>
              <a:gd name="adj2" fmla="val 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CA" sz="1100"/>
          </a:p>
        </xdr:txBody>
      </xdr:sp>
      <xdr:sp macro="" textlink="">
        <xdr:nvSpPr>
          <xdr:cNvPr id="7" name="Freeform: Sha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1782486" y="488950"/>
            <a:ext cx="275163" cy="952968"/>
          </a:xfrm>
          <a:custGeom>
            <a:avLst/>
            <a:gdLst>
              <a:gd name="connsiteX0" fmla="*/ 244174 w 244174"/>
              <a:gd name="connsiteY0" fmla="*/ 0 h 928972"/>
              <a:gd name="connsiteX1" fmla="*/ 244174 w 244174"/>
              <a:gd name="connsiteY1" fmla="*/ 928972 h 928972"/>
              <a:gd name="connsiteX2" fmla="*/ 230268 w 244174"/>
              <a:gd name="connsiteY2" fmla="*/ 884175 h 928972"/>
              <a:gd name="connsiteX3" fmla="*/ 0 w 244174"/>
              <a:gd name="connsiteY3" fmla="*/ 731543 h 928972"/>
              <a:gd name="connsiteX4" fmla="*/ 0 w 244174"/>
              <a:gd name="connsiteY4" fmla="*/ 197429 h 928972"/>
              <a:gd name="connsiteX5" fmla="*/ 230268 w 244174"/>
              <a:gd name="connsiteY5" fmla="*/ 44797 h 928972"/>
              <a:gd name="connsiteX6" fmla="*/ 244174 w 244174"/>
              <a:gd name="connsiteY6" fmla="*/ 0 h 92897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244174" h="928972">
                <a:moveTo>
                  <a:pt x="244174" y="0"/>
                </a:moveTo>
                <a:lnTo>
                  <a:pt x="244174" y="928972"/>
                </a:lnTo>
                <a:lnTo>
                  <a:pt x="230268" y="884175"/>
                </a:lnTo>
                <a:cubicBezTo>
                  <a:pt x="192330" y="794480"/>
                  <a:pt x="103515" y="731543"/>
                  <a:pt x="0" y="731543"/>
                </a:cubicBezTo>
                <a:lnTo>
                  <a:pt x="0" y="197429"/>
                </a:lnTo>
                <a:cubicBezTo>
                  <a:pt x="103515" y="197429"/>
                  <a:pt x="192330" y="134493"/>
                  <a:pt x="230268" y="44797"/>
                </a:cubicBezTo>
                <a:lnTo>
                  <a:pt x="244174" y="0"/>
                </a:lnTo>
                <a:close/>
              </a:path>
            </a:pathLst>
          </a:cu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CA"/>
          </a:p>
        </xdr:txBody>
      </xdr:sp>
    </xdr:grpSp>
    <xdr:clientData/>
  </xdr:twoCellAnchor>
  <xdr:twoCellAnchor editAs="oneCell">
    <xdr:from>
      <xdr:col>1</xdr:col>
      <xdr:colOff>529354</xdr:colOff>
      <xdr:row>3</xdr:row>
      <xdr:rowOff>157906</xdr:rowOff>
    </xdr:from>
    <xdr:to>
      <xdr:col>3</xdr:col>
      <xdr:colOff>161296</xdr:colOff>
      <xdr:row>8</xdr:row>
      <xdr:rowOff>93283</xdr:rowOff>
    </xdr:to>
    <xdr:pic>
      <xdr:nvPicPr>
        <xdr:cNvPr id="8" name="Picture 7" descr="University of Waterloo - Wikipedi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8954" y="710356"/>
          <a:ext cx="851142" cy="8561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</xdr:col>
      <xdr:colOff>65463</xdr:colOff>
      <xdr:row>10</xdr:row>
      <xdr:rowOff>72010</xdr:rowOff>
    </xdr:from>
    <xdr:ext cx="973990" cy="280205"/>
    <xdr:sp macro="" textlink="">
      <xdr:nvSpPr>
        <xdr:cNvPr id="9" name="TextBox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1284663" y="1913510"/>
          <a:ext cx="973990" cy="280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200" b="1">
              <a:solidFill>
                <a:sysClr val="windowText" lastClr="000000"/>
              </a:solidFill>
            </a:rPr>
            <a:t>Dashboard</a:t>
          </a:r>
        </a:p>
      </xdr:txBody>
    </xdr:sp>
    <xdr:clientData/>
  </xdr:oneCellAnchor>
  <xdr:twoCellAnchor>
    <xdr:from>
      <xdr:col>4</xdr:col>
      <xdr:colOff>464795</xdr:colOff>
      <xdr:row>2</xdr:row>
      <xdr:rowOff>124381</xdr:rowOff>
    </xdr:from>
    <xdr:to>
      <xdr:col>22</xdr:col>
      <xdr:colOff>176753</xdr:colOff>
      <xdr:row>4</xdr:row>
      <xdr:rowOff>163660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903195" y="492681"/>
          <a:ext cx="10684758" cy="40757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562988</xdr:colOff>
      <xdr:row>3</xdr:row>
      <xdr:rowOff>0</xdr:rowOff>
    </xdr:from>
    <xdr:to>
      <xdr:col>10</xdr:col>
      <xdr:colOff>248762</xdr:colOff>
      <xdr:row>4</xdr:row>
      <xdr:rowOff>144020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001388" y="552450"/>
          <a:ext cx="3343374" cy="3281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200" b="1">
              <a:solidFill>
                <a:schemeClr val="accent1">
                  <a:lumMod val="75000"/>
                </a:schemeClr>
              </a:solidFill>
            </a:rPr>
            <a:t>Welcome to the</a:t>
          </a:r>
          <a:r>
            <a:rPr lang="en-CA" sz="1200" b="1" baseline="0">
              <a:solidFill>
                <a:schemeClr val="accent1">
                  <a:lumMod val="75000"/>
                </a:schemeClr>
              </a:solidFill>
            </a:rPr>
            <a:t> Financial Management Program</a:t>
          </a:r>
          <a:endParaRPr lang="en-CA" sz="1200" b="1">
            <a:solidFill>
              <a:schemeClr val="accent1">
                <a:lumMod val="75000"/>
              </a:schemeClr>
            </a:solidFill>
          </a:endParaRPr>
        </a:p>
      </xdr:txBody>
    </xdr:sp>
    <xdr:clientData/>
  </xdr:twoCellAnchor>
  <xdr:twoCellAnchor>
    <xdr:from>
      <xdr:col>4</xdr:col>
      <xdr:colOff>562296</xdr:colOff>
      <xdr:row>6</xdr:row>
      <xdr:rowOff>6545</xdr:rowOff>
    </xdr:from>
    <xdr:to>
      <xdr:col>9</xdr:col>
      <xdr:colOff>569536</xdr:colOff>
      <xdr:row>12</xdr:row>
      <xdr:rowOff>6584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3000696" y="1111445"/>
          <a:ext cx="3055240" cy="1104939"/>
          <a:chOff x="2997912" y="1102572"/>
          <a:chExt cx="3051761" cy="1096067"/>
        </a:xfrm>
      </xdr:grpSpPr>
      <xdr:sp macro="" textlink="">
        <xdr:nvSpPr>
          <xdr:cNvPr id="13" name="Rectangle: Top Corners Rounded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 rot="5400000">
            <a:off x="4038977" y="186110"/>
            <a:ext cx="1094234" cy="2927158"/>
          </a:xfrm>
          <a:prstGeom prst="round2Same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>
              <a:solidFill>
                <a:schemeClr val="bg1"/>
              </a:solidFill>
            </a:endParaRPr>
          </a:p>
        </xdr:txBody>
      </xdr:sp>
      <xdr:sp macro="" textlink="">
        <xdr:nvSpPr>
          <xdr:cNvPr id="14" name="Rectangle: Top Corners Rounded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 rot="16200000">
            <a:off x="2512396" y="1589921"/>
            <a:ext cx="1094234" cy="123201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>
              <a:solidFill>
                <a:schemeClr val="accent4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10</xdr:col>
      <xdr:colOff>456069</xdr:colOff>
      <xdr:row>6</xdr:row>
      <xdr:rowOff>10525</xdr:rowOff>
    </xdr:from>
    <xdr:to>
      <xdr:col>15</xdr:col>
      <xdr:colOff>463309</xdr:colOff>
      <xdr:row>12</xdr:row>
      <xdr:rowOff>10564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6552069" y="1115425"/>
          <a:ext cx="3055240" cy="1104939"/>
          <a:chOff x="2997912" y="1102572"/>
          <a:chExt cx="3051761" cy="1096067"/>
        </a:xfrm>
      </xdr:grpSpPr>
      <xdr:sp macro="" textlink="">
        <xdr:nvSpPr>
          <xdr:cNvPr id="16" name="Rectangle: Top Corners Rounded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 rot="5400000">
            <a:off x="4038977" y="186110"/>
            <a:ext cx="1094234" cy="2927158"/>
          </a:xfrm>
          <a:prstGeom prst="round2Same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>
              <a:solidFill>
                <a:schemeClr val="bg1"/>
              </a:solidFill>
            </a:endParaRPr>
          </a:p>
        </xdr:txBody>
      </xdr:sp>
      <xdr:sp macro="" textlink="">
        <xdr:nvSpPr>
          <xdr:cNvPr id="17" name="Rectangle: Top Corners Rounded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 rot="16200000">
            <a:off x="2512396" y="1589921"/>
            <a:ext cx="1094234" cy="123201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4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/>
          </a:p>
        </xdr:txBody>
      </xdr:sp>
    </xdr:grpSp>
    <xdr:clientData/>
  </xdr:twoCellAnchor>
  <xdr:twoCellAnchor>
    <xdr:from>
      <xdr:col>16</xdr:col>
      <xdr:colOff>369083</xdr:colOff>
      <xdr:row>6</xdr:row>
      <xdr:rowOff>27923</xdr:rowOff>
    </xdr:from>
    <xdr:to>
      <xdr:col>21</xdr:col>
      <xdr:colOff>376324</xdr:colOff>
      <xdr:row>12</xdr:row>
      <xdr:rowOff>27962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10122683" y="1132823"/>
          <a:ext cx="3055241" cy="1104939"/>
          <a:chOff x="2997912" y="1102572"/>
          <a:chExt cx="3051761" cy="1096067"/>
        </a:xfrm>
      </xdr:grpSpPr>
      <xdr:sp macro="" textlink="">
        <xdr:nvSpPr>
          <xdr:cNvPr id="19" name="Rectangle: Top Corners Rounded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 rot="5400000">
            <a:off x="4038977" y="186110"/>
            <a:ext cx="1094234" cy="2927158"/>
          </a:xfrm>
          <a:prstGeom prst="round2Same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>
              <a:solidFill>
                <a:schemeClr val="bg1"/>
              </a:solidFill>
            </a:endParaRPr>
          </a:p>
        </xdr:txBody>
      </xdr:sp>
      <xdr:sp macro="" textlink="">
        <xdr:nvSpPr>
          <xdr:cNvPr id="20" name="Rectangle: Top Corners Rounded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 rot="16200000">
            <a:off x="2512396" y="1589921"/>
            <a:ext cx="1094234" cy="123201"/>
          </a:xfrm>
          <a:prstGeom prst="round2SameRect">
            <a:avLst>
              <a:gd name="adj1" fmla="val 50000"/>
              <a:gd name="adj2" fmla="val 0"/>
            </a:avLst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/>
          </a:p>
        </xdr:txBody>
      </xdr:sp>
    </xdr:grpSp>
    <xdr:clientData/>
  </xdr:twoCellAnchor>
  <xdr:twoCellAnchor>
    <xdr:from>
      <xdr:col>4</xdr:col>
      <xdr:colOff>555158</xdr:colOff>
      <xdr:row>13</xdr:row>
      <xdr:rowOff>103343</xdr:rowOff>
    </xdr:from>
    <xdr:to>
      <xdr:col>13</xdr:col>
      <xdr:colOff>151848</xdr:colOff>
      <xdr:row>26</xdr:row>
      <xdr:rowOff>103343</xdr:rowOff>
    </xdr:to>
    <xdr:sp macro="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2993558" y="2497293"/>
          <a:ext cx="5083090" cy="2393950"/>
        </a:xfrm>
        <a:prstGeom prst="roundRect">
          <a:avLst>
            <a:gd name="adj" fmla="val 3608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562113</xdr:colOff>
      <xdr:row>28</xdr:row>
      <xdr:rowOff>128932</xdr:rowOff>
    </xdr:from>
    <xdr:to>
      <xdr:col>13</xdr:col>
      <xdr:colOff>158803</xdr:colOff>
      <xdr:row>41</xdr:row>
      <xdr:rowOff>128932</xdr:rowOff>
    </xdr:to>
    <xdr:sp macro="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3000513" y="5285132"/>
          <a:ext cx="5083090" cy="2393950"/>
        </a:xfrm>
        <a:prstGeom prst="roundRect">
          <a:avLst>
            <a:gd name="adj" fmla="val 3608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 editAs="oneCell">
    <xdr:from>
      <xdr:col>11</xdr:col>
      <xdr:colOff>62122</xdr:colOff>
      <xdr:row>7</xdr:row>
      <xdr:rowOff>20707</xdr:rowOff>
    </xdr:from>
    <xdr:to>
      <xdr:col>12</xdr:col>
      <xdr:colOff>144948</xdr:colOff>
      <xdr:row>10</xdr:row>
      <xdr:rowOff>151849</xdr:rowOff>
    </xdr:to>
    <xdr:pic>
      <xdr:nvPicPr>
        <xdr:cNvPr id="25" name="Graphic 24" descr="Dollar with solid fill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767722" y="1309757"/>
          <a:ext cx="692426" cy="683592"/>
        </a:xfrm>
        <a:prstGeom prst="rect">
          <a:avLst/>
        </a:prstGeom>
      </xdr:spPr>
    </xdr:pic>
    <xdr:clientData/>
  </xdr:twoCellAnchor>
  <xdr:twoCellAnchor editAs="oneCell">
    <xdr:from>
      <xdr:col>5</xdr:col>
      <xdr:colOff>172555</xdr:colOff>
      <xdr:row>7</xdr:row>
      <xdr:rowOff>20707</xdr:rowOff>
    </xdr:from>
    <xdr:to>
      <xdr:col>6</xdr:col>
      <xdr:colOff>262284</xdr:colOff>
      <xdr:row>10</xdr:row>
      <xdr:rowOff>158751</xdr:rowOff>
    </xdr:to>
    <xdr:pic>
      <xdr:nvPicPr>
        <xdr:cNvPr id="26" name="Graphic 25" descr="Piggy Bank with solid fill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20555" y="1309757"/>
          <a:ext cx="699329" cy="690494"/>
        </a:xfrm>
        <a:prstGeom prst="rect">
          <a:avLst/>
        </a:prstGeom>
      </xdr:spPr>
    </xdr:pic>
    <xdr:clientData/>
  </xdr:twoCellAnchor>
  <xdr:twoCellAnchor>
    <xdr:from>
      <xdr:col>6</xdr:col>
      <xdr:colOff>441738</xdr:colOff>
      <xdr:row>7</xdr:row>
      <xdr:rowOff>62119</xdr:rowOff>
    </xdr:from>
    <xdr:to>
      <xdr:col>6</xdr:col>
      <xdr:colOff>441738</xdr:colOff>
      <xdr:row>10</xdr:row>
      <xdr:rowOff>96630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>
          <a:off x="4099338" y="1351169"/>
          <a:ext cx="0" cy="586961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284067</xdr:colOff>
      <xdr:row>7</xdr:row>
      <xdr:rowOff>59392</xdr:rowOff>
    </xdr:from>
    <xdr:to>
      <xdr:col>12</xdr:col>
      <xdr:colOff>284067</xdr:colOff>
      <xdr:row>10</xdr:row>
      <xdr:rowOff>93903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>
          <a:off x="7599267" y="1348442"/>
          <a:ext cx="0" cy="586961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251746</xdr:colOff>
      <xdr:row>7</xdr:row>
      <xdr:rowOff>69336</xdr:rowOff>
    </xdr:from>
    <xdr:to>
      <xdr:col>18</xdr:col>
      <xdr:colOff>251746</xdr:colOff>
      <xdr:row>10</xdr:row>
      <xdr:rowOff>103847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>
          <a:off x="11224546" y="1358386"/>
          <a:ext cx="0" cy="586961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64561</xdr:colOff>
      <xdr:row>14</xdr:row>
      <xdr:rowOff>81233</xdr:rowOff>
    </xdr:from>
    <xdr:to>
      <xdr:col>3</xdr:col>
      <xdr:colOff>437279</xdr:colOff>
      <xdr:row>16</xdr:row>
      <xdr:rowOff>19050</xdr:rowOff>
    </xdr:to>
    <xdr:sp macro="" textlink="">
      <xdr:nvSpPr>
        <xdr:cNvPr id="30" name="TextBox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1283761" y="2659333"/>
          <a:ext cx="982318" cy="306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solidFill>
                <a:schemeClr val="bg1"/>
              </a:solidFill>
            </a:rPr>
            <a:t>Income</a:t>
          </a:r>
        </a:p>
      </xdr:txBody>
    </xdr:sp>
    <xdr:clientData/>
  </xdr:twoCellAnchor>
  <xdr:twoCellAnchor>
    <xdr:from>
      <xdr:col>2</xdr:col>
      <xdr:colOff>64889</xdr:colOff>
      <xdr:row>18</xdr:row>
      <xdr:rowOff>87943</xdr:rowOff>
    </xdr:from>
    <xdr:to>
      <xdr:col>3</xdr:col>
      <xdr:colOff>431488</xdr:colOff>
      <xdr:row>20</xdr:row>
      <xdr:rowOff>44450</xdr:rowOff>
    </xdr:to>
    <xdr:sp macro="" textlink="">
      <xdr:nvSpPr>
        <xdr:cNvPr id="31" name="TextBox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1284089" y="3402643"/>
          <a:ext cx="976199" cy="3248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200" b="1">
              <a:solidFill>
                <a:schemeClr val="bg1"/>
              </a:solidFill>
            </a:rPr>
            <a:t>Expenses</a:t>
          </a:r>
        </a:p>
      </xdr:txBody>
    </xdr:sp>
    <xdr:clientData/>
  </xdr:twoCellAnchor>
  <xdr:twoCellAnchor>
    <xdr:from>
      <xdr:col>2</xdr:col>
      <xdr:colOff>63690</xdr:colOff>
      <xdr:row>22</xdr:row>
      <xdr:rowOff>91116</xdr:rowOff>
    </xdr:from>
    <xdr:to>
      <xdr:col>3</xdr:col>
      <xdr:colOff>430289</xdr:colOff>
      <xdr:row>24</xdr:row>
      <xdr:rowOff>69850</xdr:rowOff>
    </xdr:to>
    <xdr:sp macro="" textlink="">
      <xdr:nvSpPr>
        <xdr:cNvPr id="32" name="TextBox 3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1282890" y="4142416"/>
          <a:ext cx="976199" cy="347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200" b="1">
              <a:solidFill>
                <a:schemeClr val="bg1"/>
              </a:solidFill>
            </a:rPr>
            <a:t>Goals</a:t>
          </a:r>
        </a:p>
      </xdr:txBody>
    </xdr:sp>
    <xdr:clientData/>
  </xdr:twoCellAnchor>
  <xdr:twoCellAnchor editAs="oneCell">
    <xdr:from>
      <xdr:col>17</xdr:col>
      <xdr:colOff>57150</xdr:colOff>
      <xdr:row>7</xdr:row>
      <xdr:rowOff>31750</xdr:rowOff>
    </xdr:from>
    <xdr:to>
      <xdr:col>18</xdr:col>
      <xdr:colOff>69850</xdr:colOff>
      <xdr:row>10</xdr:row>
      <xdr:rowOff>101600</xdr:rowOff>
    </xdr:to>
    <xdr:pic>
      <xdr:nvPicPr>
        <xdr:cNvPr id="35" name="Graphic 34" descr="Money outline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0420350" y="1320800"/>
          <a:ext cx="622300" cy="622300"/>
        </a:xfrm>
        <a:prstGeom prst="rect">
          <a:avLst/>
        </a:prstGeom>
      </xdr:spPr>
    </xdr:pic>
    <xdr:clientData/>
  </xdr:twoCellAnchor>
  <xdr:twoCellAnchor>
    <xdr:from>
      <xdr:col>19</xdr:col>
      <xdr:colOff>222250</xdr:colOff>
      <xdr:row>7</xdr:row>
      <xdr:rowOff>12700</xdr:rowOff>
    </xdr:from>
    <xdr:to>
      <xdr:col>20</xdr:col>
      <xdr:colOff>298450</xdr:colOff>
      <xdr:row>8</xdr:row>
      <xdr:rowOff>133350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>
          <a:off x="11804650" y="1301750"/>
          <a:ext cx="6858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solidFill>
                <a:schemeClr val="bg1">
                  <a:lumMod val="65000"/>
                </a:schemeClr>
              </a:solidFill>
            </a:rPr>
            <a:t>Income</a:t>
          </a:r>
        </a:p>
      </xdr:txBody>
    </xdr:sp>
    <xdr:clientData/>
  </xdr:twoCellAnchor>
  <xdr:twoCellAnchor>
    <xdr:from>
      <xdr:col>13</xdr:col>
      <xdr:colOff>24268</xdr:colOff>
      <xdr:row>7</xdr:row>
      <xdr:rowOff>4175</xdr:rowOff>
    </xdr:from>
    <xdr:to>
      <xdr:col>15</xdr:col>
      <xdr:colOff>50799</xdr:colOff>
      <xdr:row>8</xdr:row>
      <xdr:rowOff>124825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7949068" y="1293225"/>
          <a:ext cx="1245731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solidFill>
                <a:schemeClr val="bg1">
                  <a:lumMod val="65000"/>
                </a:schemeClr>
              </a:solidFill>
            </a:rPr>
            <a:t>Monthly Budget</a:t>
          </a:r>
        </a:p>
      </xdr:txBody>
    </xdr:sp>
    <xdr:clientData/>
  </xdr:twoCellAnchor>
  <xdr:twoCellAnchor>
    <xdr:from>
      <xdr:col>7</xdr:col>
      <xdr:colOff>397196</xdr:colOff>
      <xdr:row>6</xdr:row>
      <xdr:rowOff>165295</xdr:rowOff>
    </xdr:from>
    <xdr:to>
      <xdr:col>8</xdr:col>
      <xdr:colOff>473396</xdr:colOff>
      <xdr:row>8</xdr:row>
      <xdr:rowOff>101795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4664396" y="1270195"/>
          <a:ext cx="6858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solidFill>
                <a:schemeClr val="bg1">
                  <a:lumMod val="65000"/>
                </a:schemeClr>
              </a:solidFill>
            </a:rPr>
            <a:t>Balance</a:t>
          </a:r>
        </a:p>
      </xdr:txBody>
    </xdr:sp>
    <xdr:clientData/>
  </xdr:twoCellAnchor>
  <xdr:twoCellAnchor>
    <xdr:from>
      <xdr:col>7</xdr:col>
      <xdr:colOff>457200</xdr:colOff>
      <xdr:row>8</xdr:row>
      <xdr:rowOff>57150</xdr:rowOff>
    </xdr:from>
    <xdr:to>
      <xdr:col>9</xdr:col>
      <xdr:colOff>488950</xdr:colOff>
      <xdr:row>10</xdr:row>
      <xdr:rowOff>6350</xdr:rowOff>
    </xdr:to>
    <xdr:sp macro="" textlink="DataBase!B16">
      <xdr:nvSpPr>
        <xdr:cNvPr id="34" name="TextBox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4724400" y="1530350"/>
          <a:ext cx="1250950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5F70039B-8B87-4A50-8C6D-AE547A3C0505}" type="TxLink">
            <a:rPr lang="en-US" sz="18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1000.00</a:t>
          </a:fld>
          <a:endParaRPr lang="en-CA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317500</xdr:colOff>
      <xdr:row>8</xdr:row>
      <xdr:rowOff>107950</xdr:rowOff>
    </xdr:from>
    <xdr:to>
      <xdr:col>7</xdr:col>
      <xdr:colOff>552450</xdr:colOff>
      <xdr:row>9</xdr:row>
      <xdr:rowOff>158750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4584700" y="1581150"/>
          <a:ext cx="234950" cy="234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solidFill>
                <a:sysClr val="windowText" lastClr="000000"/>
              </a:solidFill>
            </a:rPr>
            <a:t>$</a:t>
          </a:r>
        </a:p>
      </xdr:txBody>
    </xdr:sp>
    <xdr:clientData/>
  </xdr:twoCellAnchor>
  <xdr:twoCellAnchor>
    <xdr:from>
      <xdr:col>13</xdr:col>
      <xdr:colOff>119519</xdr:colOff>
      <xdr:row>8</xdr:row>
      <xdr:rowOff>99425</xdr:rowOff>
    </xdr:from>
    <xdr:to>
      <xdr:col>13</xdr:col>
      <xdr:colOff>354469</xdr:colOff>
      <xdr:row>9</xdr:row>
      <xdr:rowOff>150225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 txBox="1"/>
      </xdr:nvSpPr>
      <xdr:spPr>
        <a:xfrm>
          <a:off x="8044319" y="1572625"/>
          <a:ext cx="234950" cy="234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solidFill>
                <a:sysClr val="windowText" lastClr="000000"/>
              </a:solidFill>
            </a:rPr>
            <a:t>$</a:t>
          </a:r>
        </a:p>
      </xdr:txBody>
    </xdr:sp>
    <xdr:clientData/>
  </xdr:twoCellAnchor>
  <xdr:twoCellAnchor>
    <xdr:from>
      <xdr:col>19</xdr:col>
      <xdr:colOff>83333</xdr:colOff>
      <xdr:row>8</xdr:row>
      <xdr:rowOff>85073</xdr:rowOff>
    </xdr:from>
    <xdr:to>
      <xdr:col>19</xdr:col>
      <xdr:colOff>318283</xdr:colOff>
      <xdr:row>9</xdr:row>
      <xdr:rowOff>135873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 txBox="1"/>
      </xdr:nvSpPr>
      <xdr:spPr>
        <a:xfrm>
          <a:off x="11665733" y="1558273"/>
          <a:ext cx="234950" cy="234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solidFill>
                <a:sysClr val="windowText" lastClr="000000"/>
              </a:solidFill>
            </a:rPr>
            <a:t>$</a:t>
          </a:r>
        </a:p>
      </xdr:txBody>
    </xdr:sp>
    <xdr:clientData/>
  </xdr:twoCellAnchor>
  <xdr:twoCellAnchor>
    <xdr:from>
      <xdr:col>13</xdr:col>
      <xdr:colOff>284618</xdr:colOff>
      <xdr:row>8</xdr:row>
      <xdr:rowOff>67675</xdr:rowOff>
    </xdr:from>
    <xdr:to>
      <xdr:col>15</xdr:col>
      <xdr:colOff>355599</xdr:colOff>
      <xdr:row>10</xdr:row>
      <xdr:rowOff>16875</xdr:rowOff>
    </xdr:to>
    <xdr:sp macro="" textlink="DataBase!B3">
      <xdr:nvSpPr>
        <xdr:cNvPr id="42" name="TextBox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8209418" y="1540875"/>
          <a:ext cx="1290181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CC6D353B-D8EA-4ADF-B8F9-B27DEE307699}" type="TxLink">
            <a:rPr lang="en-US" sz="18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1000.00</a:t>
          </a:fld>
          <a:endParaRPr lang="en-CA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19</xdr:col>
      <xdr:colOff>210332</xdr:colOff>
      <xdr:row>8</xdr:row>
      <xdr:rowOff>40623</xdr:rowOff>
    </xdr:from>
    <xdr:to>
      <xdr:col>21</xdr:col>
      <xdr:colOff>209550</xdr:colOff>
      <xdr:row>9</xdr:row>
      <xdr:rowOff>173973</xdr:rowOff>
    </xdr:to>
    <xdr:sp macro="" textlink="DataBase!B2">
      <xdr:nvSpPr>
        <xdr:cNvPr id="43" name="TextBox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11792732" y="1513823"/>
          <a:ext cx="1218418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C1F7F394-608E-4D0B-89C4-F00BD8A95D76}" type="TxLink">
            <a:rPr lang="en-US" sz="18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0.00</a:t>
          </a:fld>
          <a:endParaRPr lang="en-CA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400050</xdr:colOff>
      <xdr:row>2</xdr:row>
      <xdr:rowOff>177800</xdr:rowOff>
    </xdr:from>
    <xdr:to>
      <xdr:col>22</xdr:col>
      <xdr:colOff>107950</xdr:colOff>
      <xdr:row>4</xdr:row>
      <xdr:rowOff>158750</xdr:rowOff>
    </xdr:to>
    <xdr:sp macro="" textlink="DataBase!B4">
      <xdr:nvSpPr>
        <xdr:cNvPr id="44" name="TextBox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 txBox="1"/>
      </xdr:nvSpPr>
      <xdr:spPr>
        <a:xfrm>
          <a:off x="12592050" y="546100"/>
          <a:ext cx="927100" cy="349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C20E618D-7236-40B2-AA62-F8E7C2E05E20}" type="TxLink">
            <a:rPr lang="en-US" sz="1200" b="1" i="0" u="none" strike="noStrike">
              <a:solidFill>
                <a:schemeClr val="accent1">
                  <a:lumMod val="75000"/>
                </a:schemeClr>
              </a:solidFill>
              <a:latin typeface="Calibri"/>
              <a:cs typeface="Calibri"/>
            </a:rPr>
            <a:pPr algn="l"/>
            <a:t>2022-12-21</a:t>
          </a:fld>
          <a:endParaRPr lang="en-CA" sz="1400" b="1">
            <a:solidFill>
              <a:schemeClr val="accent1">
                <a:lumMod val="75000"/>
              </a:schemeClr>
            </a:solidFill>
          </a:endParaRPr>
        </a:p>
      </xdr:txBody>
    </xdr:sp>
    <xdr:clientData/>
  </xdr:twoCellAnchor>
  <xdr:twoCellAnchor>
    <xdr:from>
      <xdr:col>19</xdr:col>
      <xdr:colOff>590550</xdr:colOff>
      <xdr:row>2</xdr:row>
      <xdr:rowOff>171450</xdr:rowOff>
    </xdr:from>
    <xdr:to>
      <xdr:col>20</xdr:col>
      <xdr:colOff>520700</xdr:colOff>
      <xdr:row>4</xdr:row>
      <xdr:rowOff>76200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12172950" y="539750"/>
          <a:ext cx="539750" cy="273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solidFill>
                <a:schemeClr val="accent1">
                  <a:lumMod val="75000"/>
                </a:schemeClr>
              </a:solidFill>
            </a:rPr>
            <a:t>Date:</a:t>
          </a:r>
        </a:p>
      </xdr:txBody>
    </xdr:sp>
    <xdr:clientData/>
  </xdr:twoCellAnchor>
  <xdr:twoCellAnchor>
    <xdr:from>
      <xdr:col>4</xdr:col>
      <xdr:colOff>555158</xdr:colOff>
      <xdr:row>13</xdr:row>
      <xdr:rowOff>103343</xdr:rowOff>
    </xdr:from>
    <xdr:to>
      <xdr:col>13</xdr:col>
      <xdr:colOff>142408</xdr:colOff>
      <xdr:row>18</xdr:row>
      <xdr:rowOff>46193</xdr:rowOff>
    </xdr:to>
    <xdr:sp macro="" textlink="">
      <xdr:nvSpPr>
        <xdr:cNvPr id="46" name="Rectangle: Rounded Corners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2993558" y="2497293"/>
          <a:ext cx="5073650" cy="863600"/>
        </a:xfrm>
        <a:prstGeom prst="roundRect">
          <a:avLst>
            <a:gd name="adj" fmla="val 710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 b="1">
              <a:solidFill>
                <a:schemeClr val="bg1"/>
              </a:solidFill>
            </a:rPr>
            <a:t>Budget Left after Expenses</a:t>
          </a:r>
        </a:p>
      </xdr:txBody>
    </xdr:sp>
    <xdr:clientData/>
  </xdr:twoCellAnchor>
  <xdr:twoCellAnchor>
    <xdr:from>
      <xdr:col>5</xdr:col>
      <xdr:colOff>440858</xdr:colOff>
      <xdr:row>20</xdr:row>
      <xdr:rowOff>27143</xdr:rowOff>
    </xdr:from>
    <xdr:to>
      <xdr:col>8</xdr:col>
      <xdr:colOff>53508</xdr:colOff>
      <xdr:row>23</xdr:row>
      <xdr:rowOff>96993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 txBox="1"/>
      </xdr:nvSpPr>
      <xdr:spPr>
        <a:xfrm>
          <a:off x="3488858" y="3710143"/>
          <a:ext cx="1441450" cy="622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3600" b="1">
              <a:solidFill>
                <a:sysClr val="windowText" lastClr="000000"/>
              </a:solidFill>
            </a:rPr>
            <a:t>Total: </a:t>
          </a:r>
        </a:p>
      </xdr:txBody>
    </xdr:sp>
    <xdr:clientData/>
  </xdr:twoCellAnchor>
  <xdr:twoCellAnchor>
    <xdr:from>
      <xdr:col>8</xdr:col>
      <xdr:colOff>110658</xdr:colOff>
      <xdr:row>20</xdr:row>
      <xdr:rowOff>109693</xdr:rowOff>
    </xdr:from>
    <xdr:to>
      <xdr:col>9</xdr:col>
      <xdr:colOff>34458</xdr:colOff>
      <xdr:row>23</xdr:row>
      <xdr:rowOff>103343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 txBox="1"/>
      </xdr:nvSpPr>
      <xdr:spPr>
        <a:xfrm>
          <a:off x="4987458" y="3792693"/>
          <a:ext cx="533400" cy="546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2800" b="1">
              <a:solidFill>
                <a:sysClr val="windowText" lastClr="000000"/>
              </a:solidFill>
            </a:rPr>
            <a:t>$</a:t>
          </a:r>
        </a:p>
      </xdr:txBody>
    </xdr:sp>
    <xdr:clientData/>
  </xdr:twoCellAnchor>
  <xdr:twoCellAnchor>
    <xdr:from>
      <xdr:col>8</xdr:col>
      <xdr:colOff>393700</xdr:colOff>
      <xdr:row>20</xdr:row>
      <xdr:rowOff>44450</xdr:rowOff>
    </xdr:from>
    <xdr:to>
      <xdr:col>13</xdr:col>
      <xdr:colOff>120650</xdr:colOff>
      <xdr:row>24</xdr:row>
      <xdr:rowOff>44450</xdr:rowOff>
    </xdr:to>
    <xdr:sp macro="" textlink="DataBase!B9">
      <xdr:nvSpPr>
        <xdr:cNvPr id="49" name="TextBox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5270500" y="3727450"/>
          <a:ext cx="2774950" cy="736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CDE6973B-0940-4405-A643-F57F013F9285}" type="TxLink">
            <a:rPr lang="en-US" sz="36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1000.00</a:t>
          </a:fld>
          <a:endParaRPr lang="en-CA" sz="115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548532</xdr:colOff>
      <xdr:row>13</xdr:row>
      <xdr:rowOff>77943</xdr:rowOff>
    </xdr:from>
    <xdr:to>
      <xdr:col>21</xdr:col>
      <xdr:colOff>387350</xdr:colOff>
      <xdr:row>27</xdr:row>
      <xdr:rowOff>6350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555763</xdr:colOff>
      <xdr:row>27</xdr:row>
      <xdr:rowOff>173382</xdr:rowOff>
    </xdr:from>
    <xdr:to>
      <xdr:col>13</xdr:col>
      <xdr:colOff>143013</xdr:colOff>
      <xdr:row>32</xdr:row>
      <xdr:rowOff>116232</xdr:rowOff>
    </xdr:to>
    <xdr:sp macro="" textlink="">
      <xdr:nvSpPr>
        <xdr:cNvPr id="52" name="Rectangle: Rounded Corners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2994163" y="5145432"/>
          <a:ext cx="5073650" cy="863600"/>
        </a:xfrm>
        <a:prstGeom prst="roundRect">
          <a:avLst>
            <a:gd name="adj" fmla="val 710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 b="1">
              <a:solidFill>
                <a:schemeClr val="bg1"/>
              </a:solidFill>
            </a:rPr>
            <a:t>Advice</a:t>
          </a:r>
        </a:p>
      </xdr:txBody>
    </xdr:sp>
    <xdr:clientData/>
  </xdr:twoCellAnchor>
  <xdr:twoCellAnchor>
    <xdr:from>
      <xdr:col>13</xdr:col>
      <xdr:colOff>546100</xdr:colOff>
      <xdr:row>27</xdr:row>
      <xdr:rowOff>146050</xdr:rowOff>
    </xdr:from>
    <xdr:to>
      <xdr:col>21</xdr:col>
      <xdr:colOff>400050</xdr:colOff>
      <xdr:row>41</xdr:row>
      <xdr:rowOff>139700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520700</xdr:colOff>
          <xdr:row>35</xdr:row>
          <xdr:rowOff>12700</xdr:rowOff>
        </xdr:from>
        <xdr:to>
          <xdr:col>10</xdr:col>
          <xdr:colOff>76200</xdr:colOff>
          <xdr:row>38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Advice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31200</xdr:colOff>
      <xdr:row>50</xdr:row>
      <xdr:rowOff>82550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0"/>
          <a:ext cx="2469600" cy="9290050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29680</xdr:colOff>
      <xdr:row>2</xdr:row>
      <xdr:rowOff>127552</xdr:rowOff>
    </xdr:from>
    <xdr:to>
      <xdr:col>4</xdr:col>
      <xdr:colOff>29680</xdr:colOff>
      <xdr:row>47</xdr:row>
      <xdr:rowOff>51354</xdr:rowOff>
    </xdr:to>
    <xdr:sp macro="" textlink="">
      <xdr:nvSpPr>
        <xdr:cNvPr id="3" name="Rectangle: Top Corners Rounded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6200000">
          <a:off x="-2551596" y="3686728"/>
          <a:ext cx="8210552" cy="1828800"/>
        </a:xfrm>
        <a:prstGeom prst="round2Same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endParaRPr lang="en-CA" sz="1100"/>
        </a:p>
      </xdr:txBody>
    </xdr:sp>
    <xdr:clientData/>
  </xdr:twoCellAnchor>
  <xdr:twoCellAnchor>
    <xdr:from>
      <xdr:col>4</xdr:col>
      <xdr:colOff>44450</xdr:colOff>
      <xdr:row>2</xdr:row>
      <xdr:rowOff>120650</xdr:rowOff>
    </xdr:from>
    <xdr:to>
      <xdr:col>22</xdr:col>
      <xdr:colOff>533400</xdr:colOff>
      <xdr:row>47</xdr:row>
      <xdr:rowOff>44452</xdr:rowOff>
    </xdr:to>
    <xdr:sp macro="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4108449" y="-1136649"/>
          <a:ext cx="8210552" cy="11461750"/>
        </a:xfrm>
        <a:prstGeom prst="round2SameRect">
          <a:avLst>
            <a:gd name="adj1" fmla="val 4370"/>
            <a:gd name="adj2" fmla="val 0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endParaRPr lang="en-CA" sz="1100"/>
        </a:p>
      </xdr:txBody>
    </xdr:sp>
    <xdr:clientData/>
  </xdr:twoCellAnchor>
  <xdr:twoCellAnchor>
    <xdr:from>
      <xdr:col>1</xdr:col>
      <xdr:colOff>439186</xdr:colOff>
      <xdr:row>12</xdr:row>
      <xdr:rowOff>127962</xdr:rowOff>
    </xdr:from>
    <xdr:to>
      <xdr:col>4</xdr:col>
      <xdr:colOff>41965</xdr:colOff>
      <xdr:row>17</xdr:row>
      <xdr:rowOff>159926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048786" y="2337762"/>
          <a:ext cx="1431579" cy="952714"/>
          <a:chOff x="625475" y="488950"/>
          <a:chExt cx="1432174" cy="952968"/>
        </a:xfrm>
        <a:solidFill>
          <a:schemeClr val="bg2"/>
        </a:solidFill>
      </xdr:grpSpPr>
      <xdr:sp macro="" textlink="">
        <xdr:nvSpPr>
          <xdr:cNvPr id="6" name="Rectangle: Top Corners Rounded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 rot="16200000">
            <a:off x="945875" y="370213"/>
            <a:ext cx="547200" cy="1188000"/>
          </a:xfrm>
          <a:prstGeom prst="round2SameRect">
            <a:avLst>
              <a:gd name="adj1" fmla="val 50000"/>
              <a:gd name="adj2" fmla="val 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CA" sz="1100"/>
          </a:p>
        </xdr:txBody>
      </xdr:sp>
      <xdr:sp macro="" textlink="">
        <xdr:nvSpPr>
          <xdr:cNvPr id="7" name="Freeform: Shap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1782486" y="488950"/>
            <a:ext cx="275163" cy="952968"/>
          </a:xfrm>
          <a:custGeom>
            <a:avLst/>
            <a:gdLst>
              <a:gd name="connsiteX0" fmla="*/ 244174 w 244174"/>
              <a:gd name="connsiteY0" fmla="*/ 0 h 928972"/>
              <a:gd name="connsiteX1" fmla="*/ 244174 w 244174"/>
              <a:gd name="connsiteY1" fmla="*/ 928972 h 928972"/>
              <a:gd name="connsiteX2" fmla="*/ 230268 w 244174"/>
              <a:gd name="connsiteY2" fmla="*/ 884175 h 928972"/>
              <a:gd name="connsiteX3" fmla="*/ 0 w 244174"/>
              <a:gd name="connsiteY3" fmla="*/ 731543 h 928972"/>
              <a:gd name="connsiteX4" fmla="*/ 0 w 244174"/>
              <a:gd name="connsiteY4" fmla="*/ 197429 h 928972"/>
              <a:gd name="connsiteX5" fmla="*/ 230268 w 244174"/>
              <a:gd name="connsiteY5" fmla="*/ 44797 h 928972"/>
              <a:gd name="connsiteX6" fmla="*/ 244174 w 244174"/>
              <a:gd name="connsiteY6" fmla="*/ 0 h 92897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244174" h="928972">
                <a:moveTo>
                  <a:pt x="244174" y="0"/>
                </a:moveTo>
                <a:lnTo>
                  <a:pt x="244174" y="928972"/>
                </a:lnTo>
                <a:lnTo>
                  <a:pt x="230268" y="884175"/>
                </a:lnTo>
                <a:cubicBezTo>
                  <a:pt x="192330" y="794480"/>
                  <a:pt x="103515" y="731543"/>
                  <a:pt x="0" y="731543"/>
                </a:cubicBezTo>
                <a:lnTo>
                  <a:pt x="0" y="197429"/>
                </a:lnTo>
                <a:cubicBezTo>
                  <a:pt x="103515" y="197429"/>
                  <a:pt x="192330" y="134493"/>
                  <a:pt x="230268" y="44797"/>
                </a:cubicBezTo>
                <a:lnTo>
                  <a:pt x="244174" y="0"/>
                </a:lnTo>
                <a:close/>
              </a:path>
            </a:pathLst>
          </a:cu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CA"/>
          </a:p>
        </xdr:txBody>
      </xdr:sp>
    </xdr:grpSp>
    <xdr:clientData/>
  </xdr:twoCellAnchor>
  <xdr:twoCellAnchor editAs="oneCell">
    <xdr:from>
      <xdr:col>1</xdr:col>
      <xdr:colOff>529354</xdr:colOff>
      <xdr:row>3</xdr:row>
      <xdr:rowOff>157906</xdr:rowOff>
    </xdr:from>
    <xdr:to>
      <xdr:col>3</xdr:col>
      <xdr:colOff>161296</xdr:colOff>
      <xdr:row>8</xdr:row>
      <xdr:rowOff>93283</xdr:rowOff>
    </xdr:to>
    <xdr:pic>
      <xdr:nvPicPr>
        <xdr:cNvPr id="8" name="Picture 7" descr="University of Waterloo - Wikipedia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8954" y="710356"/>
          <a:ext cx="851142" cy="8561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</xdr:col>
      <xdr:colOff>65463</xdr:colOff>
      <xdr:row>10</xdr:row>
      <xdr:rowOff>72010</xdr:rowOff>
    </xdr:from>
    <xdr:ext cx="973990" cy="280205"/>
    <xdr:sp macro="" textlink="">
      <xdr:nvSpPr>
        <xdr:cNvPr id="9" name="TextBox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284663" y="1913510"/>
          <a:ext cx="973990" cy="280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200" b="1">
              <a:solidFill>
                <a:schemeClr val="bg1"/>
              </a:solidFill>
            </a:rPr>
            <a:t>Dashboard</a:t>
          </a:r>
        </a:p>
      </xdr:txBody>
    </xdr:sp>
    <xdr:clientData/>
  </xdr:oneCellAnchor>
  <xdr:twoCellAnchor>
    <xdr:from>
      <xdr:col>4</xdr:col>
      <xdr:colOff>464795</xdr:colOff>
      <xdr:row>2</xdr:row>
      <xdr:rowOff>124381</xdr:rowOff>
    </xdr:from>
    <xdr:to>
      <xdr:col>22</xdr:col>
      <xdr:colOff>176753</xdr:colOff>
      <xdr:row>4</xdr:row>
      <xdr:rowOff>163660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2903195" y="492681"/>
          <a:ext cx="10684758" cy="40757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562988</xdr:colOff>
      <xdr:row>3</xdr:row>
      <xdr:rowOff>0</xdr:rowOff>
    </xdr:from>
    <xdr:to>
      <xdr:col>10</xdr:col>
      <xdr:colOff>248762</xdr:colOff>
      <xdr:row>4</xdr:row>
      <xdr:rowOff>144020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3001388" y="552450"/>
          <a:ext cx="3343374" cy="3281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200" b="1">
              <a:solidFill>
                <a:schemeClr val="accent1">
                  <a:lumMod val="75000"/>
                </a:schemeClr>
              </a:solidFill>
            </a:rPr>
            <a:t>Income</a:t>
          </a:r>
        </a:p>
      </xdr:txBody>
    </xdr:sp>
    <xdr:clientData/>
  </xdr:twoCellAnchor>
  <xdr:twoCellAnchor>
    <xdr:from>
      <xdr:col>4</xdr:col>
      <xdr:colOff>562296</xdr:colOff>
      <xdr:row>6</xdr:row>
      <xdr:rowOff>6545</xdr:rowOff>
    </xdr:from>
    <xdr:to>
      <xdr:col>9</xdr:col>
      <xdr:colOff>569536</xdr:colOff>
      <xdr:row>12</xdr:row>
      <xdr:rowOff>6584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3000696" y="1111445"/>
          <a:ext cx="3055240" cy="1104939"/>
          <a:chOff x="2997912" y="1102572"/>
          <a:chExt cx="3051761" cy="1096067"/>
        </a:xfrm>
      </xdr:grpSpPr>
      <xdr:sp macro="" textlink="">
        <xdr:nvSpPr>
          <xdr:cNvPr id="13" name="Rectangle: Top Corners Rounded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 rot="5400000">
            <a:off x="4038977" y="186110"/>
            <a:ext cx="1094234" cy="2927158"/>
          </a:xfrm>
          <a:prstGeom prst="round2Same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>
              <a:solidFill>
                <a:schemeClr val="bg1"/>
              </a:solidFill>
            </a:endParaRPr>
          </a:p>
        </xdr:txBody>
      </xdr:sp>
      <xdr:sp macro="" textlink="">
        <xdr:nvSpPr>
          <xdr:cNvPr id="14" name="Rectangle: Top Corners Rounded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 rot="16200000">
            <a:off x="2512396" y="1589921"/>
            <a:ext cx="1094234" cy="123201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>
              <a:solidFill>
                <a:schemeClr val="accent4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10</xdr:col>
      <xdr:colOff>437019</xdr:colOff>
      <xdr:row>6</xdr:row>
      <xdr:rowOff>10525</xdr:rowOff>
    </xdr:from>
    <xdr:to>
      <xdr:col>15</xdr:col>
      <xdr:colOff>444259</xdr:colOff>
      <xdr:row>12</xdr:row>
      <xdr:rowOff>10564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6533019" y="1115425"/>
          <a:ext cx="3055240" cy="1104939"/>
          <a:chOff x="2997912" y="1102572"/>
          <a:chExt cx="3051761" cy="1096067"/>
        </a:xfrm>
      </xdr:grpSpPr>
      <xdr:sp macro="" textlink="">
        <xdr:nvSpPr>
          <xdr:cNvPr id="16" name="Rectangle: Top Corners Rounded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 rot="5400000">
            <a:off x="4038977" y="186110"/>
            <a:ext cx="1094234" cy="2927158"/>
          </a:xfrm>
          <a:prstGeom prst="round2Same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>
              <a:solidFill>
                <a:schemeClr val="bg1"/>
              </a:solidFill>
            </a:endParaRPr>
          </a:p>
        </xdr:txBody>
      </xdr:sp>
      <xdr:sp macro="" textlink="">
        <xdr:nvSpPr>
          <xdr:cNvPr id="17" name="Rectangle: Top Corners Rounded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/>
        </xdr:nvSpPr>
        <xdr:spPr>
          <a:xfrm rot="16200000">
            <a:off x="2512396" y="1589921"/>
            <a:ext cx="1094234" cy="123201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4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/>
          </a:p>
        </xdr:txBody>
      </xdr:sp>
    </xdr:grpSp>
    <xdr:clientData/>
  </xdr:twoCellAnchor>
  <xdr:twoCellAnchor>
    <xdr:from>
      <xdr:col>16</xdr:col>
      <xdr:colOff>369083</xdr:colOff>
      <xdr:row>6</xdr:row>
      <xdr:rowOff>27923</xdr:rowOff>
    </xdr:from>
    <xdr:to>
      <xdr:col>21</xdr:col>
      <xdr:colOff>376324</xdr:colOff>
      <xdr:row>12</xdr:row>
      <xdr:rowOff>27962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10122683" y="1132823"/>
          <a:ext cx="3055241" cy="1104939"/>
          <a:chOff x="2997912" y="1102572"/>
          <a:chExt cx="3051761" cy="1096067"/>
        </a:xfrm>
      </xdr:grpSpPr>
      <xdr:sp macro="" textlink="">
        <xdr:nvSpPr>
          <xdr:cNvPr id="19" name="Rectangle: Top Corners Rounded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 rot="5400000">
            <a:off x="4038977" y="186110"/>
            <a:ext cx="1094234" cy="2927158"/>
          </a:xfrm>
          <a:prstGeom prst="round2Same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>
              <a:solidFill>
                <a:schemeClr val="bg1"/>
              </a:solidFill>
            </a:endParaRPr>
          </a:p>
        </xdr:txBody>
      </xdr:sp>
      <xdr:sp macro="" textlink="">
        <xdr:nvSpPr>
          <xdr:cNvPr id="20" name="Rectangle: Top Corners Rounded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 rot="16200000">
            <a:off x="2512396" y="1589921"/>
            <a:ext cx="1094234" cy="123201"/>
          </a:xfrm>
          <a:prstGeom prst="round2SameRect">
            <a:avLst>
              <a:gd name="adj1" fmla="val 50000"/>
              <a:gd name="adj2" fmla="val 0"/>
            </a:avLst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/>
          </a:p>
        </xdr:txBody>
      </xdr:sp>
    </xdr:grpSp>
    <xdr:clientData/>
  </xdr:twoCellAnchor>
  <xdr:twoCellAnchor>
    <xdr:from>
      <xdr:col>4</xdr:col>
      <xdr:colOff>555158</xdr:colOff>
      <xdr:row>13</xdr:row>
      <xdr:rowOff>103343</xdr:rowOff>
    </xdr:from>
    <xdr:to>
      <xdr:col>13</xdr:col>
      <xdr:colOff>151848</xdr:colOff>
      <xdr:row>26</xdr:row>
      <xdr:rowOff>103343</xdr:rowOff>
    </xdr:to>
    <xdr:sp macro="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2993558" y="2497293"/>
          <a:ext cx="5083090" cy="2393950"/>
        </a:xfrm>
        <a:prstGeom prst="roundRect">
          <a:avLst>
            <a:gd name="adj" fmla="val 3608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13</xdr:col>
      <xdr:colOff>307232</xdr:colOff>
      <xdr:row>13</xdr:row>
      <xdr:rowOff>96993</xdr:rowOff>
    </xdr:from>
    <xdr:to>
      <xdr:col>22</xdr:col>
      <xdr:colOff>110986</xdr:colOff>
      <xdr:row>26</xdr:row>
      <xdr:rowOff>96993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8232032" y="2490943"/>
          <a:ext cx="5290154" cy="2393950"/>
        </a:xfrm>
        <a:prstGeom prst="roundRect">
          <a:avLst>
            <a:gd name="adj" fmla="val 3608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562113</xdr:colOff>
      <xdr:row>27</xdr:row>
      <xdr:rowOff>65432</xdr:rowOff>
    </xdr:from>
    <xdr:to>
      <xdr:col>13</xdr:col>
      <xdr:colOff>158803</xdr:colOff>
      <xdr:row>40</xdr:row>
      <xdr:rowOff>65432</xdr:rowOff>
    </xdr:to>
    <xdr:sp macro="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3000513" y="5037482"/>
          <a:ext cx="5083090" cy="2393950"/>
        </a:xfrm>
        <a:prstGeom prst="roundRect">
          <a:avLst>
            <a:gd name="adj" fmla="val 3608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13</xdr:col>
      <xdr:colOff>320537</xdr:colOff>
      <xdr:row>27</xdr:row>
      <xdr:rowOff>65432</xdr:rowOff>
    </xdr:from>
    <xdr:to>
      <xdr:col>22</xdr:col>
      <xdr:colOff>124291</xdr:colOff>
      <xdr:row>40</xdr:row>
      <xdr:rowOff>65432</xdr:rowOff>
    </xdr:to>
    <xdr:sp macro="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8245337" y="5037482"/>
          <a:ext cx="5290154" cy="2393950"/>
        </a:xfrm>
        <a:prstGeom prst="roundRect">
          <a:avLst>
            <a:gd name="adj" fmla="val 3608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 editAs="oneCell">
    <xdr:from>
      <xdr:col>11</xdr:col>
      <xdr:colOff>62122</xdr:colOff>
      <xdr:row>7</xdr:row>
      <xdr:rowOff>20707</xdr:rowOff>
    </xdr:from>
    <xdr:to>
      <xdr:col>12</xdr:col>
      <xdr:colOff>144948</xdr:colOff>
      <xdr:row>10</xdr:row>
      <xdr:rowOff>151849</xdr:rowOff>
    </xdr:to>
    <xdr:pic>
      <xdr:nvPicPr>
        <xdr:cNvPr id="25" name="Graphic 24" descr="Dollar with solid fill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767722" y="1309757"/>
          <a:ext cx="692426" cy="683592"/>
        </a:xfrm>
        <a:prstGeom prst="rect">
          <a:avLst/>
        </a:prstGeom>
      </xdr:spPr>
    </xdr:pic>
    <xdr:clientData/>
  </xdr:twoCellAnchor>
  <xdr:twoCellAnchor editAs="oneCell">
    <xdr:from>
      <xdr:col>5</xdr:col>
      <xdr:colOff>172555</xdr:colOff>
      <xdr:row>7</xdr:row>
      <xdr:rowOff>20707</xdr:rowOff>
    </xdr:from>
    <xdr:to>
      <xdr:col>6</xdr:col>
      <xdr:colOff>262284</xdr:colOff>
      <xdr:row>10</xdr:row>
      <xdr:rowOff>158751</xdr:rowOff>
    </xdr:to>
    <xdr:pic>
      <xdr:nvPicPr>
        <xdr:cNvPr id="26" name="Graphic 25" descr="Piggy Bank with solid fill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20555" y="1309757"/>
          <a:ext cx="699329" cy="690494"/>
        </a:xfrm>
        <a:prstGeom prst="rect">
          <a:avLst/>
        </a:prstGeom>
      </xdr:spPr>
    </xdr:pic>
    <xdr:clientData/>
  </xdr:twoCellAnchor>
  <xdr:twoCellAnchor>
    <xdr:from>
      <xdr:col>6</xdr:col>
      <xdr:colOff>441738</xdr:colOff>
      <xdr:row>7</xdr:row>
      <xdr:rowOff>62119</xdr:rowOff>
    </xdr:from>
    <xdr:to>
      <xdr:col>6</xdr:col>
      <xdr:colOff>441738</xdr:colOff>
      <xdr:row>10</xdr:row>
      <xdr:rowOff>96630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/>
      </xdr:nvCxnSpPr>
      <xdr:spPr>
        <a:xfrm>
          <a:off x="4099338" y="1351169"/>
          <a:ext cx="0" cy="586961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284067</xdr:colOff>
      <xdr:row>7</xdr:row>
      <xdr:rowOff>59392</xdr:rowOff>
    </xdr:from>
    <xdr:to>
      <xdr:col>12</xdr:col>
      <xdr:colOff>284067</xdr:colOff>
      <xdr:row>10</xdr:row>
      <xdr:rowOff>93903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/>
      </xdr:nvCxnSpPr>
      <xdr:spPr>
        <a:xfrm>
          <a:off x="7599267" y="1348442"/>
          <a:ext cx="0" cy="586961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251746</xdr:colOff>
      <xdr:row>7</xdr:row>
      <xdr:rowOff>69336</xdr:rowOff>
    </xdr:from>
    <xdr:to>
      <xdr:col>18</xdr:col>
      <xdr:colOff>251746</xdr:colOff>
      <xdr:row>10</xdr:row>
      <xdr:rowOff>103847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>
          <a:off x="11224546" y="1358386"/>
          <a:ext cx="0" cy="586961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64561</xdr:colOff>
      <xdr:row>14</xdr:row>
      <xdr:rowOff>81233</xdr:rowOff>
    </xdr:from>
    <xdr:to>
      <xdr:col>3</xdr:col>
      <xdr:colOff>437279</xdr:colOff>
      <xdr:row>16</xdr:row>
      <xdr:rowOff>19050</xdr:rowOff>
    </xdr:to>
    <xdr:sp macro="" textlink="">
      <xdr:nvSpPr>
        <xdr:cNvPr id="30" name="TextBox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1283761" y="2659333"/>
          <a:ext cx="982318" cy="306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solidFill>
                <a:sysClr val="windowText" lastClr="000000"/>
              </a:solidFill>
            </a:rPr>
            <a:t>Income</a:t>
          </a:r>
        </a:p>
      </xdr:txBody>
    </xdr:sp>
    <xdr:clientData/>
  </xdr:twoCellAnchor>
  <xdr:twoCellAnchor>
    <xdr:from>
      <xdr:col>2</xdr:col>
      <xdr:colOff>64889</xdr:colOff>
      <xdr:row>18</xdr:row>
      <xdr:rowOff>87943</xdr:rowOff>
    </xdr:from>
    <xdr:to>
      <xdr:col>3</xdr:col>
      <xdr:colOff>431488</xdr:colOff>
      <xdr:row>20</xdr:row>
      <xdr:rowOff>44450</xdr:rowOff>
    </xdr:to>
    <xdr:sp macro="" textlink="">
      <xdr:nvSpPr>
        <xdr:cNvPr id="31" name="TextBox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1284089" y="3402643"/>
          <a:ext cx="976199" cy="3248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200" b="1">
              <a:solidFill>
                <a:schemeClr val="bg1"/>
              </a:solidFill>
            </a:rPr>
            <a:t>Expenses</a:t>
          </a:r>
        </a:p>
      </xdr:txBody>
    </xdr:sp>
    <xdr:clientData/>
  </xdr:twoCellAnchor>
  <xdr:twoCellAnchor>
    <xdr:from>
      <xdr:col>2</xdr:col>
      <xdr:colOff>63690</xdr:colOff>
      <xdr:row>22</xdr:row>
      <xdr:rowOff>91116</xdr:rowOff>
    </xdr:from>
    <xdr:to>
      <xdr:col>3</xdr:col>
      <xdr:colOff>430289</xdr:colOff>
      <xdr:row>24</xdr:row>
      <xdr:rowOff>69850</xdr:rowOff>
    </xdr:to>
    <xdr:sp macro="" textlink="">
      <xdr:nvSpPr>
        <xdr:cNvPr id="32" name="TextBox 3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 txBox="1"/>
      </xdr:nvSpPr>
      <xdr:spPr>
        <a:xfrm>
          <a:off x="1282890" y="4142416"/>
          <a:ext cx="976199" cy="347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200" b="1">
              <a:solidFill>
                <a:schemeClr val="bg1"/>
              </a:solidFill>
            </a:rPr>
            <a:t>Goals</a:t>
          </a:r>
        </a:p>
      </xdr:txBody>
    </xdr:sp>
    <xdr:clientData/>
  </xdr:twoCellAnchor>
  <xdr:twoCellAnchor editAs="oneCell">
    <xdr:from>
      <xdr:col>17</xdr:col>
      <xdr:colOff>57150</xdr:colOff>
      <xdr:row>7</xdr:row>
      <xdr:rowOff>31750</xdr:rowOff>
    </xdr:from>
    <xdr:to>
      <xdr:col>18</xdr:col>
      <xdr:colOff>69850</xdr:colOff>
      <xdr:row>10</xdr:row>
      <xdr:rowOff>101600</xdr:rowOff>
    </xdr:to>
    <xdr:pic>
      <xdr:nvPicPr>
        <xdr:cNvPr id="34" name="Graphic 33" descr="Money outline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0420350" y="1320800"/>
          <a:ext cx="622300" cy="622300"/>
        </a:xfrm>
        <a:prstGeom prst="rect">
          <a:avLst/>
        </a:prstGeom>
      </xdr:spPr>
    </xdr:pic>
    <xdr:clientData/>
  </xdr:twoCellAnchor>
  <xdr:twoCellAnchor>
    <xdr:from>
      <xdr:col>19</xdr:col>
      <xdr:colOff>222250</xdr:colOff>
      <xdr:row>7</xdr:row>
      <xdr:rowOff>12700</xdr:rowOff>
    </xdr:from>
    <xdr:to>
      <xdr:col>20</xdr:col>
      <xdr:colOff>298450</xdr:colOff>
      <xdr:row>8</xdr:row>
      <xdr:rowOff>133350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 txBox="1"/>
      </xdr:nvSpPr>
      <xdr:spPr>
        <a:xfrm>
          <a:off x="11804650" y="1301750"/>
          <a:ext cx="6858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solidFill>
                <a:schemeClr val="bg1">
                  <a:lumMod val="65000"/>
                </a:schemeClr>
              </a:solidFill>
            </a:rPr>
            <a:t>Income</a:t>
          </a:r>
        </a:p>
      </xdr:txBody>
    </xdr:sp>
    <xdr:clientData/>
  </xdr:twoCellAnchor>
  <xdr:twoCellAnchor>
    <xdr:from>
      <xdr:col>13</xdr:col>
      <xdr:colOff>24268</xdr:colOff>
      <xdr:row>6</xdr:row>
      <xdr:rowOff>169275</xdr:rowOff>
    </xdr:from>
    <xdr:to>
      <xdr:col>15</xdr:col>
      <xdr:colOff>107949</xdr:colOff>
      <xdr:row>8</xdr:row>
      <xdr:rowOff>105775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 txBox="1"/>
      </xdr:nvSpPr>
      <xdr:spPr>
        <a:xfrm>
          <a:off x="7949068" y="1274175"/>
          <a:ext cx="1302881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solidFill>
                <a:schemeClr val="bg1">
                  <a:lumMod val="65000"/>
                </a:schemeClr>
              </a:solidFill>
            </a:rPr>
            <a:t>Monthly Budget</a:t>
          </a:r>
        </a:p>
      </xdr:txBody>
    </xdr:sp>
    <xdr:clientData/>
  </xdr:twoCellAnchor>
  <xdr:twoCellAnchor>
    <xdr:from>
      <xdr:col>7</xdr:col>
      <xdr:colOff>397196</xdr:colOff>
      <xdr:row>6</xdr:row>
      <xdr:rowOff>165295</xdr:rowOff>
    </xdr:from>
    <xdr:to>
      <xdr:col>8</xdr:col>
      <xdr:colOff>473396</xdr:colOff>
      <xdr:row>8</xdr:row>
      <xdr:rowOff>101795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 txBox="1"/>
      </xdr:nvSpPr>
      <xdr:spPr>
        <a:xfrm>
          <a:off x="4664396" y="1270195"/>
          <a:ext cx="6858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solidFill>
                <a:schemeClr val="bg1">
                  <a:lumMod val="65000"/>
                </a:schemeClr>
              </a:solidFill>
            </a:rPr>
            <a:t>Balance</a:t>
          </a:r>
        </a:p>
      </xdr:txBody>
    </xdr:sp>
    <xdr:clientData/>
  </xdr:twoCellAnchor>
  <xdr:twoCellAnchor>
    <xdr:from>
      <xdr:col>7</xdr:col>
      <xdr:colOff>457200</xdr:colOff>
      <xdr:row>8</xdr:row>
      <xdr:rowOff>57150</xdr:rowOff>
    </xdr:from>
    <xdr:to>
      <xdr:col>9</xdr:col>
      <xdr:colOff>514350</xdr:colOff>
      <xdr:row>10</xdr:row>
      <xdr:rowOff>6350</xdr:rowOff>
    </xdr:to>
    <xdr:sp macro="" textlink="DataBase!B16">
      <xdr:nvSpPr>
        <xdr:cNvPr id="38" name="TextBox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 txBox="1"/>
      </xdr:nvSpPr>
      <xdr:spPr>
        <a:xfrm>
          <a:off x="4724400" y="1530350"/>
          <a:ext cx="1276350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BC0CF950-425B-4BD9-8170-2358CCBCA6AD}" type="TxLink">
            <a:rPr lang="en-US" sz="18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1000.00</a:t>
          </a:fld>
          <a:endParaRPr lang="en-CA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317500</xdr:colOff>
      <xdr:row>8</xdr:row>
      <xdr:rowOff>107950</xdr:rowOff>
    </xdr:from>
    <xdr:to>
      <xdr:col>7</xdr:col>
      <xdr:colOff>552450</xdr:colOff>
      <xdr:row>9</xdr:row>
      <xdr:rowOff>158750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 txBox="1"/>
      </xdr:nvSpPr>
      <xdr:spPr>
        <a:xfrm>
          <a:off x="4584700" y="1581150"/>
          <a:ext cx="234950" cy="234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solidFill>
                <a:sysClr val="windowText" lastClr="000000"/>
              </a:solidFill>
            </a:rPr>
            <a:t>$</a:t>
          </a:r>
        </a:p>
      </xdr:txBody>
    </xdr:sp>
    <xdr:clientData/>
  </xdr:twoCellAnchor>
  <xdr:twoCellAnchor>
    <xdr:from>
      <xdr:col>13</xdr:col>
      <xdr:colOff>119519</xdr:colOff>
      <xdr:row>8</xdr:row>
      <xdr:rowOff>105775</xdr:rowOff>
    </xdr:from>
    <xdr:to>
      <xdr:col>13</xdr:col>
      <xdr:colOff>354469</xdr:colOff>
      <xdr:row>9</xdr:row>
      <xdr:rowOff>156575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 txBox="1"/>
      </xdr:nvSpPr>
      <xdr:spPr>
        <a:xfrm>
          <a:off x="8044319" y="1578975"/>
          <a:ext cx="234950" cy="234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solidFill>
                <a:sysClr val="windowText" lastClr="000000"/>
              </a:solidFill>
            </a:rPr>
            <a:t>$</a:t>
          </a:r>
        </a:p>
      </xdr:txBody>
    </xdr:sp>
    <xdr:clientData/>
  </xdr:twoCellAnchor>
  <xdr:twoCellAnchor>
    <xdr:from>
      <xdr:col>19</xdr:col>
      <xdr:colOff>83333</xdr:colOff>
      <xdr:row>8</xdr:row>
      <xdr:rowOff>85073</xdr:rowOff>
    </xdr:from>
    <xdr:to>
      <xdr:col>19</xdr:col>
      <xdr:colOff>318283</xdr:colOff>
      <xdr:row>9</xdr:row>
      <xdr:rowOff>135873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 txBox="1"/>
      </xdr:nvSpPr>
      <xdr:spPr>
        <a:xfrm>
          <a:off x="11665733" y="1558273"/>
          <a:ext cx="234950" cy="234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solidFill>
                <a:sysClr val="windowText" lastClr="000000"/>
              </a:solidFill>
            </a:rPr>
            <a:t>$</a:t>
          </a:r>
        </a:p>
      </xdr:txBody>
    </xdr:sp>
    <xdr:clientData/>
  </xdr:twoCellAnchor>
  <xdr:twoCellAnchor>
    <xdr:from>
      <xdr:col>13</xdr:col>
      <xdr:colOff>284618</xdr:colOff>
      <xdr:row>8</xdr:row>
      <xdr:rowOff>67675</xdr:rowOff>
    </xdr:from>
    <xdr:to>
      <xdr:col>15</xdr:col>
      <xdr:colOff>419099</xdr:colOff>
      <xdr:row>10</xdr:row>
      <xdr:rowOff>16875</xdr:rowOff>
    </xdr:to>
    <xdr:sp macro="" textlink="DataBase!B3">
      <xdr:nvSpPr>
        <xdr:cNvPr id="42" name="TextBox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 txBox="1"/>
      </xdr:nvSpPr>
      <xdr:spPr>
        <a:xfrm>
          <a:off x="8209418" y="1540875"/>
          <a:ext cx="1353681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CC6D353B-D8EA-4ADF-B8F9-B27DEE307699}" type="TxLink">
            <a:rPr lang="en-US" sz="18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1000.00</a:t>
          </a:fld>
          <a:endParaRPr lang="en-CA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19</xdr:col>
      <xdr:colOff>210332</xdr:colOff>
      <xdr:row>8</xdr:row>
      <xdr:rowOff>40623</xdr:rowOff>
    </xdr:from>
    <xdr:to>
      <xdr:col>21</xdr:col>
      <xdr:colOff>323850</xdr:colOff>
      <xdr:row>9</xdr:row>
      <xdr:rowOff>173973</xdr:rowOff>
    </xdr:to>
    <xdr:sp macro="" textlink="DataBase!B2">
      <xdr:nvSpPr>
        <xdr:cNvPr id="43" name="TextBox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 txBox="1"/>
      </xdr:nvSpPr>
      <xdr:spPr>
        <a:xfrm>
          <a:off x="11792732" y="1513823"/>
          <a:ext cx="1332718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C1F7F394-608E-4D0B-89C4-F00BD8A95D76}" type="TxLink">
            <a:rPr lang="en-US" sz="18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0.00</a:t>
          </a:fld>
          <a:endParaRPr lang="en-CA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400050</xdr:colOff>
      <xdr:row>2</xdr:row>
      <xdr:rowOff>177800</xdr:rowOff>
    </xdr:from>
    <xdr:to>
      <xdr:col>22</xdr:col>
      <xdr:colOff>107950</xdr:colOff>
      <xdr:row>4</xdr:row>
      <xdr:rowOff>158750</xdr:rowOff>
    </xdr:to>
    <xdr:sp macro="" textlink="DataBase!B4">
      <xdr:nvSpPr>
        <xdr:cNvPr id="44" name="TextBox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2592050" y="546100"/>
          <a:ext cx="927100" cy="349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C20E618D-7236-40B2-AA62-F8E7C2E05E20}" type="TxLink">
            <a:rPr lang="en-US" sz="1200" b="1" i="0" u="none" strike="noStrike">
              <a:solidFill>
                <a:schemeClr val="accent1">
                  <a:lumMod val="75000"/>
                </a:schemeClr>
              </a:solidFill>
              <a:latin typeface="Calibri"/>
              <a:cs typeface="Calibri"/>
            </a:rPr>
            <a:pPr algn="l"/>
            <a:t>2022-12-21</a:t>
          </a:fld>
          <a:endParaRPr lang="en-CA" sz="1400" b="1">
            <a:solidFill>
              <a:schemeClr val="accent1">
                <a:lumMod val="75000"/>
              </a:schemeClr>
            </a:solidFill>
          </a:endParaRPr>
        </a:p>
      </xdr:txBody>
    </xdr:sp>
    <xdr:clientData/>
  </xdr:twoCellAnchor>
  <xdr:twoCellAnchor>
    <xdr:from>
      <xdr:col>19</xdr:col>
      <xdr:colOff>590550</xdr:colOff>
      <xdr:row>2</xdr:row>
      <xdr:rowOff>171450</xdr:rowOff>
    </xdr:from>
    <xdr:to>
      <xdr:col>20</xdr:col>
      <xdr:colOff>520700</xdr:colOff>
      <xdr:row>4</xdr:row>
      <xdr:rowOff>76200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12172950" y="539750"/>
          <a:ext cx="539750" cy="273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solidFill>
                <a:schemeClr val="accent1">
                  <a:lumMod val="75000"/>
                </a:schemeClr>
              </a:solidFill>
            </a:rPr>
            <a:t>Date:</a:t>
          </a:r>
        </a:p>
      </xdr:txBody>
    </xdr:sp>
    <xdr:clientData/>
  </xdr:twoCellAnchor>
  <xdr:twoCellAnchor>
    <xdr:from>
      <xdr:col>4</xdr:col>
      <xdr:colOff>565150</xdr:colOff>
      <xdr:row>13</xdr:row>
      <xdr:rowOff>107950</xdr:rowOff>
    </xdr:from>
    <xdr:to>
      <xdr:col>13</xdr:col>
      <xdr:colOff>152400</xdr:colOff>
      <xdr:row>18</xdr:row>
      <xdr:rowOff>50800</xdr:rowOff>
    </xdr:to>
    <xdr:sp macro="" textlink="">
      <xdr:nvSpPr>
        <xdr:cNvPr id="46" name="Rectangle: Rounded Corners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3003550" y="2501900"/>
          <a:ext cx="5073650" cy="863600"/>
        </a:xfrm>
        <a:prstGeom prst="roundRect">
          <a:avLst>
            <a:gd name="adj" fmla="val 710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 b="1">
              <a:solidFill>
                <a:schemeClr val="bg1"/>
              </a:solidFill>
            </a:rPr>
            <a:t>Current Balance</a:t>
          </a:r>
        </a:p>
      </xdr:txBody>
    </xdr:sp>
    <xdr:clientData/>
  </xdr:twoCellAnchor>
  <xdr:twoCellAnchor>
    <xdr:from>
      <xdr:col>13</xdr:col>
      <xdr:colOff>313582</xdr:colOff>
      <xdr:row>13</xdr:row>
      <xdr:rowOff>103343</xdr:rowOff>
    </xdr:from>
    <xdr:to>
      <xdr:col>22</xdr:col>
      <xdr:colOff>107950</xdr:colOff>
      <xdr:row>18</xdr:row>
      <xdr:rowOff>46193</xdr:rowOff>
    </xdr:to>
    <xdr:sp macro="" textlink="">
      <xdr:nvSpPr>
        <xdr:cNvPr id="47" name="Rectangle: Rounded Corners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8238382" y="2497293"/>
          <a:ext cx="5280768" cy="863600"/>
        </a:xfrm>
        <a:prstGeom prst="roundRect">
          <a:avLst>
            <a:gd name="adj" fmla="val 710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 b="1">
              <a:solidFill>
                <a:schemeClr val="bg1"/>
              </a:solidFill>
            </a:rPr>
            <a:t>Monthly</a:t>
          </a:r>
          <a:r>
            <a:rPr lang="en-CA" sz="2800" b="1" baseline="0">
              <a:solidFill>
                <a:schemeClr val="bg1"/>
              </a:solidFill>
            </a:rPr>
            <a:t> Income</a:t>
          </a:r>
          <a:endParaRPr lang="en-CA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562113</xdr:colOff>
      <xdr:row>27</xdr:row>
      <xdr:rowOff>65432</xdr:rowOff>
    </xdr:from>
    <xdr:to>
      <xdr:col>13</xdr:col>
      <xdr:colOff>149363</xdr:colOff>
      <xdr:row>32</xdr:row>
      <xdr:rowOff>8282</xdr:rowOff>
    </xdr:to>
    <xdr:sp macro="" textlink="">
      <xdr:nvSpPr>
        <xdr:cNvPr id="48" name="Rectangle: Rounded Corners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3000513" y="5037482"/>
          <a:ext cx="5073650" cy="863600"/>
        </a:xfrm>
        <a:prstGeom prst="roundRect">
          <a:avLst>
            <a:gd name="adj" fmla="val 710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 b="1">
              <a:solidFill>
                <a:schemeClr val="bg1"/>
              </a:solidFill>
            </a:rPr>
            <a:t>WorkTerm StartDate</a:t>
          </a:r>
        </a:p>
      </xdr:txBody>
    </xdr:sp>
    <xdr:clientData/>
  </xdr:twoCellAnchor>
  <xdr:twoCellAnchor>
    <xdr:from>
      <xdr:col>13</xdr:col>
      <xdr:colOff>320536</xdr:colOff>
      <xdr:row>27</xdr:row>
      <xdr:rowOff>65432</xdr:rowOff>
    </xdr:from>
    <xdr:to>
      <xdr:col>22</xdr:col>
      <xdr:colOff>120649</xdr:colOff>
      <xdr:row>32</xdr:row>
      <xdr:rowOff>8282</xdr:rowOff>
    </xdr:to>
    <xdr:sp macro="" textlink="">
      <xdr:nvSpPr>
        <xdr:cNvPr id="49" name="Rectangle: Rounded Corners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8245336" y="5037482"/>
          <a:ext cx="5286513" cy="863600"/>
        </a:xfrm>
        <a:prstGeom prst="roundRect">
          <a:avLst>
            <a:gd name="adj" fmla="val 710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 b="1">
              <a:solidFill>
                <a:schemeClr val="bg1"/>
              </a:solidFill>
            </a:rPr>
            <a:t>Income From</a:t>
          </a:r>
          <a:r>
            <a:rPr lang="en-CA" sz="2800" b="1" baseline="0">
              <a:solidFill>
                <a:schemeClr val="bg1"/>
              </a:solidFill>
            </a:rPr>
            <a:t> Other Source</a:t>
          </a:r>
          <a:endParaRPr lang="en-CA" sz="28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317500</xdr:colOff>
          <xdr:row>20</xdr:row>
          <xdr:rowOff>146050</xdr:rowOff>
        </xdr:from>
        <xdr:to>
          <xdr:col>6</xdr:col>
          <xdr:colOff>603250</xdr:colOff>
          <xdr:row>23</xdr:row>
          <xdr:rowOff>63500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1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127000</xdr:colOff>
          <xdr:row>20</xdr:row>
          <xdr:rowOff>165100</xdr:rowOff>
        </xdr:from>
        <xdr:to>
          <xdr:col>15</xdr:col>
          <xdr:colOff>438150</xdr:colOff>
          <xdr:row>23</xdr:row>
          <xdr:rowOff>69850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1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368300</xdr:colOff>
          <xdr:row>34</xdr:row>
          <xdr:rowOff>158750</xdr:rowOff>
        </xdr:from>
        <xdr:to>
          <xdr:col>6</xdr:col>
          <xdr:colOff>571500</xdr:colOff>
          <xdr:row>37</xdr:row>
          <xdr:rowOff>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1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393700</xdr:colOff>
          <xdr:row>34</xdr:row>
          <xdr:rowOff>76200</xdr:rowOff>
        </xdr:from>
        <xdr:to>
          <xdr:col>19</xdr:col>
          <xdr:colOff>107950</xdr:colOff>
          <xdr:row>37</xdr:row>
          <xdr:rowOff>44450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1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116732</xdr:colOff>
      <xdr:row>19</xdr:row>
      <xdr:rowOff>77942</xdr:rowOff>
    </xdr:from>
    <xdr:to>
      <xdr:col>21</xdr:col>
      <xdr:colOff>571500</xdr:colOff>
      <xdr:row>24</xdr:row>
      <xdr:rowOff>76199</xdr:rowOff>
    </xdr:to>
    <xdr:sp macro="" textlink="DataBase!B2">
      <xdr:nvSpPr>
        <xdr:cNvPr id="50" name="TextBox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 txBox="1"/>
      </xdr:nvSpPr>
      <xdr:spPr>
        <a:xfrm>
          <a:off x="10479932" y="3576792"/>
          <a:ext cx="2893168" cy="9190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C1F7F394-608E-4D0B-89C4-F00BD8A95D76}" type="TxLink">
            <a:rPr lang="en-US" sz="5400" b="1" i="0" u="none" strike="noStrike">
              <a:solidFill>
                <a:srgbClr val="000000"/>
              </a:solidFill>
              <a:latin typeface="+mn-lt"/>
              <a:cs typeface="Calibri"/>
            </a:rPr>
            <a:pPr algn="l"/>
            <a:t>0.00</a:t>
          </a:fld>
          <a:endParaRPr lang="en-CA" sz="96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16</xdr:col>
      <xdr:colOff>415182</xdr:colOff>
      <xdr:row>20</xdr:row>
      <xdr:rowOff>52542</xdr:rowOff>
    </xdr:from>
    <xdr:to>
      <xdr:col>17</xdr:col>
      <xdr:colOff>400050</xdr:colOff>
      <xdr:row>23</xdr:row>
      <xdr:rowOff>57149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 txBox="1"/>
      </xdr:nvSpPr>
      <xdr:spPr>
        <a:xfrm>
          <a:off x="10168782" y="3735542"/>
          <a:ext cx="594468" cy="5570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3600" b="1">
              <a:solidFill>
                <a:sysClr val="windowText" lastClr="000000"/>
              </a:solidFill>
            </a:rPr>
            <a:t>$</a:t>
          </a:r>
        </a:p>
      </xdr:txBody>
    </xdr:sp>
    <xdr:clientData/>
  </xdr:twoCellAnchor>
  <xdr:twoCellAnchor>
    <xdr:from>
      <xdr:col>8</xdr:col>
      <xdr:colOff>136058</xdr:colOff>
      <xdr:row>19</xdr:row>
      <xdr:rowOff>96992</xdr:rowOff>
    </xdr:from>
    <xdr:to>
      <xdr:col>13</xdr:col>
      <xdr:colOff>127000</xdr:colOff>
      <xdr:row>24</xdr:row>
      <xdr:rowOff>95249</xdr:rowOff>
    </xdr:to>
    <xdr:sp macro="" textlink="DataBase!B1">
      <xdr:nvSpPr>
        <xdr:cNvPr id="54" name="TextBox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 txBox="1"/>
      </xdr:nvSpPr>
      <xdr:spPr>
        <a:xfrm>
          <a:off x="5012858" y="3595842"/>
          <a:ext cx="3038942" cy="9190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4FD6F635-4FAB-4A5A-AC8A-3905873CD5A3}" type="TxLink">
            <a:rPr lang="en-US" sz="54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1000.00</a:t>
          </a:fld>
          <a:endParaRPr lang="en-CA" sz="5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415458</xdr:colOff>
      <xdr:row>20</xdr:row>
      <xdr:rowOff>58893</xdr:rowOff>
    </xdr:from>
    <xdr:to>
      <xdr:col>8</xdr:col>
      <xdr:colOff>400326</xdr:colOff>
      <xdr:row>23</xdr:row>
      <xdr:rowOff>63500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 txBox="1"/>
      </xdr:nvSpPr>
      <xdr:spPr>
        <a:xfrm>
          <a:off x="4682658" y="3741893"/>
          <a:ext cx="594468" cy="5570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3600" b="1">
              <a:solidFill>
                <a:sysClr val="windowText" lastClr="000000"/>
              </a:solidFill>
            </a:rPr>
            <a:t>$</a:t>
          </a:r>
        </a:p>
      </xdr:txBody>
    </xdr:sp>
    <xdr:clientData/>
  </xdr:twoCellAnchor>
  <xdr:twoCellAnchor>
    <xdr:from>
      <xdr:col>7</xdr:col>
      <xdr:colOff>400050</xdr:colOff>
      <xdr:row>33</xdr:row>
      <xdr:rowOff>107950</xdr:rowOff>
    </xdr:from>
    <xdr:to>
      <xdr:col>12</xdr:col>
      <xdr:colOff>228600</xdr:colOff>
      <xdr:row>37</xdr:row>
      <xdr:rowOff>139700</xdr:rowOff>
    </xdr:to>
    <xdr:sp macro="" textlink="DataBase!B5">
      <xdr:nvSpPr>
        <xdr:cNvPr id="57" name="TextBox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 txBox="1"/>
      </xdr:nvSpPr>
      <xdr:spPr>
        <a:xfrm>
          <a:off x="4667250" y="6184900"/>
          <a:ext cx="2876550" cy="768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F05ED037-097A-457B-823B-CBC1C4D90269}" type="TxLink">
            <a:rPr lang="en-US" sz="48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00-00-00</a:t>
          </a:fld>
          <a:endParaRPr lang="en-CA" sz="287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552450</xdr:colOff>
      <xdr:row>2</xdr:row>
      <xdr:rowOff>120650</xdr:rowOff>
    </xdr:from>
    <xdr:to>
      <xdr:col>22</xdr:col>
      <xdr:colOff>431800</xdr:colOff>
      <xdr:row>47</xdr:row>
      <xdr:rowOff>44452</xdr:rowOff>
    </xdr:to>
    <xdr:sp macro="" textlink="">
      <xdr:nvSpPr>
        <xdr:cNvPr id="52" name="Freeform: Shape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 rot="5400000">
          <a:off x="3765549" y="-895349"/>
          <a:ext cx="8356602" cy="11125200"/>
        </a:xfrm>
        <a:custGeom>
          <a:avLst/>
          <a:gdLst>
            <a:gd name="connsiteX0" fmla="*/ 0 w 8210552"/>
            <a:gd name="connsiteY0" fmla="*/ 11569700 h 11569700"/>
            <a:gd name="connsiteX1" fmla="*/ 0 w 8210552"/>
            <a:gd name="connsiteY1" fmla="*/ 358801 h 11569700"/>
            <a:gd name="connsiteX2" fmla="*/ 358801 w 8210552"/>
            <a:gd name="connsiteY2" fmla="*/ 0 h 11569700"/>
            <a:gd name="connsiteX3" fmla="*/ 7851751 w 8210552"/>
            <a:gd name="connsiteY3" fmla="*/ 0 h 11569700"/>
            <a:gd name="connsiteX4" fmla="*/ 8210552 w 8210552"/>
            <a:gd name="connsiteY4" fmla="*/ 358801 h 11569700"/>
            <a:gd name="connsiteX5" fmla="*/ 8210552 w 8210552"/>
            <a:gd name="connsiteY5" fmla="*/ 11569700 h 11569700"/>
            <a:gd name="connsiteX6" fmla="*/ 0 w 8210552"/>
            <a:gd name="connsiteY6" fmla="*/ 11569700 h 11569700"/>
            <a:gd name="connsiteX7" fmla="*/ 2025650 w 8210552"/>
            <a:gd name="connsiteY7" fmla="*/ 5467350 h 11569700"/>
            <a:gd name="connsiteX8" fmla="*/ 7359650 w 8210552"/>
            <a:gd name="connsiteY8" fmla="*/ 5467350 h 11569700"/>
            <a:gd name="connsiteX9" fmla="*/ 7359650 w 8210552"/>
            <a:gd name="connsiteY9" fmla="*/ 806450 h 11569700"/>
            <a:gd name="connsiteX10" fmla="*/ 2025650 w 8210552"/>
            <a:gd name="connsiteY10" fmla="*/ 806450 h 11569700"/>
            <a:gd name="connsiteX11" fmla="*/ 2025650 w 8210552"/>
            <a:gd name="connsiteY11" fmla="*/ 5467350 h 115697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8210552" h="11569700">
              <a:moveTo>
                <a:pt x="0" y="11569700"/>
              </a:moveTo>
              <a:lnTo>
                <a:pt x="0" y="358801"/>
              </a:lnTo>
              <a:cubicBezTo>
                <a:pt x="0" y="160641"/>
                <a:pt x="160641" y="0"/>
                <a:pt x="358801" y="0"/>
              </a:cubicBezTo>
              <a:lnTo>
                <a:pt x="7851751" y="0"/>
              </a:lnTo>
              <a:cubicBezTo>
                <a:pt x="8049911" y="0"/>
                <a:pt x="8210552" y="160641"/>
                <a:pt x="8210552" y="358801"/>
              </a:cubicBezTo>
              <a:lnTo>
                <a:pt x="8210552" y="11569700"/>
              </a:lnTo>
              <a:lnTo>
                <a:pt x="0" y="11569700"/>
              </a:lnTo>
              <a:close/>
              <a:moveTo>
                <a:pt x="2025650" y="5467350"/>
              </a:moveTo>
              <a:lnTo>
                <a:pt x="7359650" y="5467350"/>
              </a:lnTo>
              <a:lnTo>
                <a:pt x="7359650" y="806450"/>
              </a:lnTo>
              <a:lnTo>
                <a:pt x="2025650" y="806450"/>
              </a:lnTo>
              <a:lnTo>
                <a:pt x="2025650" y="5467350"/>
              </a:lnTo>
              <a:close/>
            </a:path>
          </a:pathLst>
        </a:cu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b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r"/>
          <a:endParaRPr lang="en-CA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31200</xdr:colOff>
      <xdr:row>50</xdr:row>
      <xdr:rowOff>82550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0"/>
          <a:ext cx="2469600" cy="9290050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29680</xdr:colOff>
      <xdr:row>2</xdr:row>
      <xdr:rowOff>127552</xdr:rowOff>
    </xdr:from>
    <xdr:to>
      <xdr:col>4</xdr:col>
      <xdr:colOff>29680</xdr:colOff>
      <xdr:row>47</xdr:row>
      <xdr:rowOff>51354</xdr:rowOff>
    </xdr:to>
    <xdr:sp macro="" textlink="">
      <xdr:nvSpPr>
        <xdr:cNvPr id="3" name="Rectangle: Top Corners Rounded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6200000">
          <a:off x="-2551596" y="3686728"/>
          <a:ext cx="8210552" cy="1828800"/>
        </a:xfrm>
        <a:prstGeom prst="round2Same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endParaRPr lang="en-CA" sz="1100"/>
        </a:p>
      </xdr:txBody>
    </xdr:sp>
    <xdr:clientData/>
  </xdr:twoCellAnchor>
  <xdr:twoCellAnchor>
    <xdr:from>
      <xdr:col>1</xdr:col>
      <xdr:colOff>439186</xdr:colOff>
      <xdr:row>15</xdr:row>
      <xdr:rowOff>318462</xdr:rowOff>
    </xdr:from>
    <xdr:to>
      <xdr:col>4</xdr:col>
      <xdr:colOff>41965</xdr:colOff>
      <xdr:row>21</xdr:row>
      <xdr:rowOff>20226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1048786" y="3080712"/>
          <a:ext cx="1431579" cy="952714"/>
          <a:chOff x="625475" y="488950"/>
          <a:chExt cx="1432174" cy="952968"/>
        </a:xfrm>
        <a:solidFill>
          <a:schemeClr val="bg2"/>
        </a:solidFill>
      </xdr:grpSpPr>
      <xdr:sp macro="" textlink="">
        <xdr:nvSpPr>
          <xdr:cNvPr id="6" name="Rectangle: Top Corners Rounded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 rot="16200000">
            <a:off x="945875" y="370213"/>
            <a:ext cx="547200" cy="1188000"/>
          </a:xfrm>
          <a:prstGeom prst="round2SameRect">
            <a:avLst>
              <a:gd name="adj1" fmla="val 50000"/>
              <a:gd name="adj2" fmla="val 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CA" sz="1100"/>
          </a:p>
        </xdr:txBody>
      </xdr:sp>
      <xdr:sp macro="" textlink="">
        <xdr:nvSpPr>
          <xdr:cNvPr id="7" name="Freeform: Shap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1782486" y="488950"/>
            <a:ext cx="275163" cy="952968"/>
          </a:xfrm>
          <a:custGeom>
            <a:avLst/>
            <a:gdLst>
              <a:gd name="connsiteX0" fmla="*/ 244174 w 244174"/>
              <a:gd name="connsiteY0" fmla="*/ 0 h 928972"/>
              <a:gd name="connsiteX1" fmla="*/ 244174 w 244174"/>
              <a:gd name="connsiteY1" fmla="*/ 928972 h 928972"/>
              <a:gd name="connsiteX2" fmla="*/ 230268 w 244174"/>
              <a:gd name="connsiteY2" fmla="*/ 884175 h 928972"/>
              <a:gd name="connsiteX3" fmla="*/ 0 w 244174"/>
              <a:gd name="connsiteY3" fmla="*/ 731543 h 928972"/>
              <a:gd name="connsiteX4" fmla="*/ 0 w 244174"/>
              <a:gd name="connsiteY4" fmla="*/ 197429 h 928972"/>
              <a:gd name="connsiteX5" fmla="*/ 230268 w 244174"/>
              <a:gd name="connsiteY5" fmla="*/ 44797 h 928972"/>
              <a:gd name="connsiteX6" fmla="*/ 244174 w 244174"/>
              <a:gd name="connsiteY6" fmla="*/ 0 h 92897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244174" h="928972">
                <a:moveTo>
                  <a:pt x="244174" y="0"/>
                </a:moveTo>
                <a:lnTo>
                  <a:pt x="244174" y="928972"/>
                </a:lnTo>
                <a:lnTo>
                  <a:pt x="230268" y="884175"/>
                </a:lnTo>
                <a:cubicBezTo>
                  <a:pt x="192330" y="794480"/>
                  <a:pt x="103515" y="731543"/>
                  <a:pt x="0" y="731543"/>
                </a:cubicBezTo>
                <a:lnTo>
                  <a:pt x="0" y="197429"/>
                </a:lnTo>
                <a:cubicBezTo>
                  <a:pt x="103515" y="197429"/>
                  <a:pt x="192330" y="134493"/>
                  <a:pt x="230268" y="44797"/>
                </a:cubicBezTo>
                <a:lnTo>
                  <a:pt x="244174" y="0"/>
                </a:lnTo>
                <a:close/>
              </a:path>
            </a:pathLst>
          </a:cu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CA"/>
          </a:p>
        </xdr:txBody>
      </xdr:sp>
    </xdr:grpSp>
    <xdr:clientData/>
  </xdr:twoCellAnchor>
  <xdr:twoCellAnchor editAs="oneCell">
    <xdr:from>
      <xdr:col>1</xdr:col>
      <xdr:colOff>529354</xdr:colOff>
      <xdr:row>3</xdr:row>
      <xdr:rowOff>157906</xdr:rowOff>
    </xdr:from>
    <xdr:to>
      <xdr:col>3</xdr:col>
      <xdr:colOff>161296</xdr:colOff>
      <xdr:row>8</xdr:row>
      <xdr:rowOff>93283</xdr:rowOff>
    </xdr:to>
    <xdr:pic>
      <xdr:nvPicPr>
        <xdr:cNvPr id="8" name="Picture 7" descr="University of Waterloo - Wikipedia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8954" y="710356"/>
          <a:ext cx="851142" cy="8561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</xdr:col>
      <xdr:colOff>65463</xdr:colOff>
      <xdr:row>10</xdr:row>
      <xdr:rowOff>72010</xdr:rowOff>
    </xdr:from>
    <xdr:ext cx="973990" cy="280205"/>
    <xdr:sp macro="" textlink="">
      <xdr:nvSpPr>
        <xdr:cNvPr id="9" name="TextBox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1284663" y="1913510"/>
          <a:ext cx="973990" cy="280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200" b="1">
              <a:solidFill>
                <a:schemeClr val="bg1"/>
              </a:solidFill>
            </a:rPr>
            <a:t>Dashboard</a:t>
          </a:r>
        </a:p>
      </xdr:txBody>
    </xdr:sp>
    <xdr:clientData/>
  </xdr:oneCellAnchor>
  <xdr:twoCellAnchor>
    <xdr:from>
      <xdr:col>4</xdr:col>
      <xdr:colOff>464795</xdr:colOff>
      <xdr:row>2</xdr:row>
      <xdr:rowOff>124381</xdr:rowOff>
    </xdr:from>
    <xdr:to>
      <xdr:col>22</xdr:col>
      <xdr:colOff>176753</xdr:colOff>
      <xdr:row>4</xdr:row>
      <xdr:rowOff>163660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903195" y="492681"/>
          <a:ext cx="10684758" cy="40757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562988</xdr:colOff>
      <xdr:row>3</xdr:row>
      <xdr:rowOff>0</xdr:rowOff>
    </xdr:from>
    <xdr:to>
      <xdr:col>10</xdr:col>
      <xdr:colOff>248762</xdr:colOff>
      <xdr:row>4</xdr:row>
      <xdr:rowOff>144020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3001388" y="552450"/>
          <a:ext cx="3343374" cy="3281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200" b="1">
              <a:solidFill>
                <a:schemeClr val="accent1">
                  <a:lumMod val="75000"/>
                </a:schemeClr>
              </a:solidFill>
            </a:rPr>
            <a:t>Expenses</a:t>
          </a:r>
        </a:p>
      </xdr:txBody>
    </xdr:sp>
    <xdr:clientData/>
  </xdr:twoCellAnchor>
  <xdr:twoCellAnchor>
    <xdr:from>
      <xdr:col>4</xdr:col>
      <xdr:colOff>562296</xdr:colOff>
      <xdr:row>6</xdr:row>
      <xdr:rowOff>6545</xdr:rowOff>
    </xdr:from>
    <xdr:to>
      <xdr:col>9</xdr:col>
      <xdr:colOff>569536</xdr:colOff>
      <xdr:row>12</xdr:row>
      <xdr:rowOff>6584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3000696" y="1111445"/>
          <a:ext cx="3055240" cy="1104939"/>
          <a:chOff x="2997912" y="1102572"/>
          <a:chExt cx="3051761" cy="1096067"/>
        </a:xfrm>
      </xdr:grpSpPr>
      <xdr:sp macro="" textlink="">
        <xdr:nvSpPr>
          <xdr:cNvPr id="13" name="Rectangle: Top Corners Rounded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 rot="5400000">
            <a:off x="4038977" y="186110"/>
            <a:ext cx="1094234" cy="2927158"/>
          </a:xfrm>
          <a:prstGeom prst="round2Same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>
              <a:solidFill>
                <a:schemeClr val="bg1"/>
              </a:solidFill>
            </a:endParaRPr>
          </a:p>
        </xdr:txBody>
      </xdr:sp>
      <xdr:sp macro="" textlink="">
        <xdr:nvSpPr>
          <xdr:cNvPr id="14" name="Rectangle: Top Corners Rounded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 rot="16200000">
            <a:off x="2512396" y="1589921"/>
            <a:ext cx="1094234" cy="123201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>
              <a:solidFill>
                <a:schemeClr val="accent4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10</xdr:col>
      <xdr:colOff>456068</xdr:colOff>
      <xdr:row>6</xdr:row>
      <xdr:rowOff>10525</xdr:rowOff>
    </xdr:from>
    <xdr:to>
      <xdr:col>16</xdr:col>
      <xdr:colOff>387349</xdr:colOff>
      <xdr:row>12</xdr:row>
      <xdr:rowOff>10564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pSpPr/>
      </xdr:nvGrpSpPr>
      <xdr:grpSpPr>
        <a:xfrm>
          <a:off x="6552068" y="1115425"/>
          <a:ext cx="3093581" cy="1104939"/>
          <a:chOff x="2997912" y="1102572"/>
          <a:chExt cx="3051761" cy="1096067"/>
        </a:xfrm>
      </xdr:grpSpPr>
      <xdr:sp macro="" textlink="">
        <xdr:nvSpPr>
          <xdr:cNvPr id="16" name="Rectangle: Top Corners Rounded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/>
        </xdr:nvSpPr>
        <xdr:spPr>
          <a:xfrm rot="5400000">
            <a:off x="4038977" y="186110"/>
            <a:ext cx="1094234" cy="2927158"/>
          </a:xfrm>
          <a:prstGeom prst="round2Same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>
              <a:solidFill>
                <a:schemeClr val="bg1"/>
              </a:solidFill>
            </a:endParaRPr>
          </a:p>
        </xdr:txBody>
      </xdr:sp>
      <xdr:sp macro="" textlink="">
        <xdr:nvSpPr>
          <xdr:cNvPr id="17" name="Rectangle: Top Corners Rounded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 rot="16200000">
            <a:off x="2512396" y="1589921"/>
            <a:ext cx="1094234" cy="123201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4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/>
          </a:p>
        </xdr:txBody>
      </xdr:sp>
    </xdr:grpSp>
    <xdr:clientData/>
  </xdr:twoCellAnchor>
  <xdr:twoCellAnchor>
    <xdr:from>
      <xdr:col>16</xdr:col>
      <xdr:colOff>876300</xdr:colOff>
      <xdr:row>6</xdr:row>
      <xdr:rowOff>27923</xdr:rowOff>
    </xdr:from>
    <xdr:to>
      <xdr:col>21</xdr:col>
      <xdr:colOff>376324</xdr:colOff>
      <xdr:row>12</xdr:row>
      <xdr:rowOff>27962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10134600" y="1132823"/>
          <a:ext cx="2706774" cy="1104939"/>
          <a:chOff x="2997912" y="1102572"/>
          <a:chExt cx="3051761" cy="1096067"/>
        </a:xfrm>
      </xdr:grpSpPr>
      <xdr:sp macro="" textlink="">
        <xdr:nvSpPr>
          <xdr:cNvPr id="19" name="Rectangle: Top Corners Rounded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 rot="5400000">
            <a:off x="4038977" y="186110"/>
            <a:ext cx="1094234" cy="2927158"/>
          </a:xfrm>
          <a:prstGeom prst="round2Same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>
              <a:solidFill>
                <a:schemeClr val="bg1"/>
              </a:solidFill>
            </a:endParaRPr>
          </a:p>
        </xdr:txBody>
      </xdr:sp>
      <xdr:sp macro="" textlink="">
        <xdr:nvSpPr>
          <xdr:cNvPr id="20" name="Rectangle: Top Corners Rounded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 rot="16200000">
            <a:off x="2512396" y="1589921"/>
            <a:ext cx="1094234" cy="123201"/>
          </a:xfrm>
          <a:prstGeom prst="round2SameRect">
            <a:avLst>
              <a:gd name="adj1" fmla="val 50000"/>
              <a:gd name="adj2" fmla="val 0"/>
            </a:avLst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/>
          </a:p>
        </xdr:txBody>
      </xdr:sp>
    </xdr:grpSp>
    <xdr:clientData/>
  </xdr:twoCellAnchor>
  <xdr:twoCellAnchor>
    <xdr:from>
      <xdr:col>4</xdr:col>
      <xdr:colOff>478958</xdr:colOff>
      <xdr:row>13</xdr:row>
      <xdr:rowOff>122393</xdr:rowOff>
    </xdr:from>
    <xdr:to>
      <xdr:col>13</xdr:col>
      <xdr:colOff>75648</xdr:colOff>
      <xdr:row>28</xdr:row>
      <xdr:rowOff>76201</xdr:rowOff>
    </xdr:to>
    <xdr:sp macro="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2917358" y="2516343"/>
          <a:ext cx="5191040" cy="2862108"/>
        </a:xfrm>
        <a:prstGeom prst="roundRect">
          <a:avLst>
            <a:gd name="adj" fmla="val 3608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473213</xdr:colOff>
      <xdr:row>29</xdr:row>
      <xdr:rowOff>114300</xdr:rowOff>
    </xdr:from>
    <xdr:to>
      <xdr:col>13</xdr:col>
      <xdr:colOff>69903</xdr:colOff>
      <xdr:row>40</xdr:row>
      <xdr:rowOff>59082</xdr:rowOff>
    </xdr:to>
    <xdr:sp macro="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2911613" y="5600700"/>
          <a:ext cx="5191040" cy="1970432"/>
        </a:xfrm>
        <a:prstGeom prst="roundRect">
          <a:avLst>
            <a:gd name="adj" fmla="val 3608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 editAs="oneCell">
    <xdr:from>
      <xdr:col>11</xdr:col>
      <xdr:colOff>62122</xdr:colOff>
      <xdr:row>7</xdr:row>
      <xdr:rowOff>20707</xdr:rowOff>
    </xdr:from>
    <xdr:to>
      <xdr:col>12</xdr:col>
      <xdr:colOff>144948</xdr:colOff>
      <xdr:row>10</xdr:row>
      <xdr:rowOff>151849</xdr:rowOff>
    </xdr:to>
    <xdr:pic>
      <xdr:nvPicPr>
        <xdr:cNvPr id="25" name="Graphic 24" descr="Dollar with solid fill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767722" y="1309757"/>
          <a:ext cx="692426" cy="683592"/>
        </a:xfrm>
        <a:prstGeom prst="rect">
          <a:avLst/>
        </a:prstGeom>
      </xdr:spPr>
    </xdr:pic>
    <xdr:clientData/>
  </xdr:twoCellAnchor>
  <xdr:twoCellAnchor editAs="oneCell">
    <xdr:from>
      <xdr:col>5</xdr:col>
      <xdr:colOff>172555</xdr:colOff>
      <xdr:row>7</xdr:row>
      <xdr:rowOff>20707</xdr:rowOff>
    </xdr:from>
    <xdr:to>
      <xdr:col>6</xdr:col>
      <xdr:colOff>262284</xdr:colOff>
      <xdr:row>10</xdr:row>
      <xdr:rowOff>158751</xdr:rowOff>
    </xdr:to>
    <xdr:pic>
      <xdr:nvPicPr>
        <xdr:cNvPr id="26" name="Graphic 25" descr="Piggy Bank with solid fill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20555" y="1309757"/>
          <a:ext cx="699329" cy="690494"/>
        </a:xfrm>
        <a:prstGeom prst="rect">
          <a:avLst/>
        </a:prstGeom>
      </xdr:spPr>
    </xdr:pic>
    <xdr:clientData/>
  </xdr:twoCellAnchor>
  <xdr:twoCellAnchor>
    <xdr:from>
      <xdr:col>6</xdr:col>
      <xdr:colOff>441738</xdr:colOff>
      <xdr:row>7</xdr:row>
      <xdr:rowOff>62119</xdr:rowOff>
    </xdr:from>
    <xdr:to>
      <xdr:col>6</xdr:col>
      <xdr:colOff>441738</xdr:colOff>
      <xdr:row>10</xdr:row>
      <xdr:rowOff>96630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CxnSpPr/>
      </xdr:nvCxnSpPr>
      <xdr:spPr>
        <a:xfrm>
          <a:off x="4099338" y="1351169"/>
          <a:ext cx="0" cy="586961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284067</xdr:colOff>
      <xdr:row>7</xdr:row>
      <xdr:rowOff>59392</xdr:rowOff>
    </xdr:from>
    <xdr:to>
      <xdr:col>12</xdr:col>
      <xdr:colOff>284067</xdr:colOff>
      <xdr:row>10</xdr:row>
      <xdr:rowOff>93903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CxnSpPr/>
      </xdr:nvCxnSpPr>
      <xdr:spPr>
        <a:xfrm>
          <a:off x="7599267" y="1348442"/>
          <a:ext cx="0" cy="586961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251746</xdr:colOff>
      <xdr:row>7</xdr:row>
      <xdr:rowOff>69336</xdr:rowOff>
    </xdr:from>
    <xdr:to>
      <xdr:col>18</xdr:col>
      <xdr:colOff>251746</xdr:colOff>
      <xdr:row>10</xdr:row>
      <xdr:rowOff>103847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>
          <a:off x="11224546" y="1358386"/>
          <a:ext cx="0" cy="586961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64561</xdr:colOff>
      <xdr:row>14</xdr:row>
      <xdr:rowOff>81233</xdr:rowOff>
    </xdr:from>
    <xdr:to>
      <xdr:col>3</xdr:col>
      <xdr:colOff>437279</xdr:colOff>
      <xdr:row>16</xdr:row>
      <xdr:rowOff>19050</xdr:rowOff>
    </xdr:to>
    <xdr:sp macro="" textlink="">
      <xdr:nvSpPr>
        <xdr:cNvPr id="30" name="TextBox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1283761" y="2659333"/>
          <a:ext cx="982318" cy="306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solidFill>
                <a:schemeClr val="bg1"/>
              </a:solidFill>
            </a:rPr>
            <a:t>Income</a:t>
          </a:r>
        </a:p>
      </xdr:txBody>
    </xdr:sp>
    <xdr:clientData/>
  </xdr:twoCellAnchor>
  <xdr:twoCellAnchor>
    <xdr:from>
      <xdr:col>2</xdr:col>
      <xdr:colOff>58539</xdr:colOff>
      <xdr:row>17</xdr:row>
      <xdr:rowOff>138743</xdr:rowOff>
    </xdr:from>
    <xdr:to>
      <xdr:col>3</xdr:col>
      <xdr:colOff>425138</xdr:colOff>
      <xdr:row>19</xdr:row>
      <xdr:rowOff>95250</xdr:rowOff>
    </xdr:to>
    <xdr:sp macro="" textlink="">
      <xdr:nvSpPr>
        <xdr:cNvPr id="31" name="TextBox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1277739" y="3415343"/>
          <a:ext cx="976199" cy="3248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200" b="1">
              <a:solidFill>
                <a:sysClr val="windowText" lastClr="000000"/>
              </a:solidFill>
            </a:rPr>
            <a:t>Expenses</a:t>
          </a:r>
        </a:p>
      </xdr:txBody>
    </xdr:sp>
    <xdr:clientData/>
  </xdr:twoCellAnchor>
  <xdr:twoCellAnchor>
    <xdr:from>
      <xdr:col>2</xdr:col>
      <xdr:colOff>63690</xdr:colOff>
      <xdr:row>21</xdr:row>
      <xdr:rowOff>148266</xdr:rowOff>
    </xdr:from>
    <xdr:to>
      <xdr:col>3</xdr:col>
      <xdr:colOff>430289</xdr:colOff>
      <xdr:row>23</xdr:row>
      <xdr:rowOff>127000</xdr:rowOff>
    </xdr:to>
    <xdr:sp macro="" textlink="">
      <xdr:nvSpPr>
        <xdr:cNvPr id="32" name="TextBox 3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 txBox="1"/>
      </xdr:nvSpPr>
      <xdr:spPr>
        <a:xfrm>
          <a:off x="1282890" y="4161466"/>
          <a:ext cx="976199" cy="347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200" b="1">
              <a:solidFill>
                <a:schemeClr val="bg1"/>
              </a:solidFill>
            </a:rPr>
            <a:t>Goals</a:t>
          </a:r>
        </a:p>
      </xdr:txBody>
    </xdr:sp>
    <xdr:clientData/>
  </xdr:twoCellAnchor>
  <xdr:twoCellAnchor editAs="oneCell">
    <xdr:from>
      <xdr:col>17</xdr:col>
      <xdr:colOff>57150</xdr:colOff>
      <xdr:row>7</xdr:row>
      <xdr:rowOff>31750</xdr:rowOff>
    </xdr:from>
    <xdr:to>
      <xdr:col>18</xdr:col>
      <xdr:colOff>69850</xdr:colOff>
      <xdr:row>10</xdr:row>
      <xdr:rowOff>101600</xdr:rowOff>
    </xdr:to>
    <xdr:pic>
      <xdr:nvPicPr>
        <xdr:cNvPr id="34" name="Graphic 33" descr="Money outline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0420350" y="1320800"/>
          <a:ext cx="622300" cy="622300"/>
        </a:xfrm>
        <a:prstGeom prst="rect">
          <a:avLst/>
        </a:prstGeom>
      </xdr:spPr>
    </xdr:pic>
    <xdr:clientData/>
  </xdr:twoCellAnchor>
  <xdr:twoCellAnchor>
    <xdr:from>
      <xdr:col>19</xdr:col>
      <xdr:colOff>222250</xdr:colOff>
      <xdr:row>7</xdr:row>
      <xdr:rowOff>12700</xdr:rowOff>
    </xdr:from>
    <xdr:to>
      <xdr:col>20</xdr:col>
      <xdr:colOff>298450</xdr:colOff>
      <xdr:row>8</xdr:row>
      <xdr:rowOff>133350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 txBox="1"/>
      </xdr:nvSpPr>
      <xdr:spPr>
        <a:xfrm>
          <a:off x="11804650" y="1301750"/>
          <a:ext cx="6858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solidFill>
                <a:schemeClr val="bg1">
                  <a:lumMod val="65000"/>
                </a:schemeClr>
              </a:solidFill>
            </a:rPr>
            <a:t>Income</a:t>
          </a:r>
        </a:p>
      </xdr:txBody>
    </xdr:sp>
    <xdr:clientData/>
  </xdr:twoCellAnchor>
  <xdr:twoCellAnchor>
    <xdr:from>
      <xdr:col>13</xdr:col>
      <xdr:colOff>30618</xdr:colOff>
      <xdr:row>6</xdr:row>
      <xdr:rowOff>175625</xdr:rowOff>
    </xdr:from>
    <xdr:to>
      <xdr:col>16</xdr:col>
      <xdr:colOff>95250</xdr:colOff>
      <xdr:row>8</xdr:row>
      <xdr:rowOff>112125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 txBox="1"/>
      </xdr:nvSpPr>
      <xdr:spPr>
        <a:xfrm>
          <a:off x="8063368" y="1280525"/>
          <a:ext cx="1290182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solidFill>
                <a:schemeClr val="bg1">
                  <a:lumMod val="65000"/>
                </a:schemeClr>
              </a:solidFill>
            </a:rPr>
            <a:t>Monthly Budget</a:t>
          </a:r>
        </a:p>
      </xdr:txBody>
    </xdr:sp>
    <xdr:clientData/>
  </xdr:twoCellAnchor>
  <xdr:twoCellAnchor>
    <xdr:from>
      <xdr:col>7</xdr:col>
      <xdr:colOff>397196</xdr:colOff>
      <xdr:row>6</xdr:row>
      <xdr:rowOff>165295</xdr:rowOff>
    </xdr:from>
    <xdr:to>
      <xdr:col>8</xdr:col>
      <xdr:colOff>473396</xdr:colOff>
      <xdr:row>8</xdr:row>
      <xdr:rowOff>101795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 txBox="1"/>
      </xdr:nvSpPr>
      <xdr:spPr>
        <a:xfrm>
          <a:off x="4664396" y="1270195"/>
          <a:ext cx="6858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solidFill>
                <a:schemeClr val="bg1">
                  <a:lumMod val="65000"/>
                </a:schemeClr>
              </a:solidFill>
            </a:rPr>
            <a:t>Balance</a:t>
          </a:r>
        </a:p>
      </xdr:txBody>
    </xdr:sp>
    <xdr:clientData/>
  </xdr:twoCellAnchor>
  <xdr:twoCellAnchor>
    <xdr:from>
      <xdr:col>7</xdr:col>
      <xdr:colOff>457200</xdr:colOff>
      <xdr:row>8</xdr:row>
      <xdr:rowOff>57150</xdr:rowOff>
    </xdr:from>
    <xdr:to>
      <xdr:col>9</xdr:col>
      <xdr:colOff>476250</xdr:colOff>
      <xdr:row>10</xdr:row>
      <xdr:rowOff>6350</xdr:rowOff>
    </xdr:to>
    <xdr:sp macro="" textlink="DataBase!B16">
      <xdr:nvSpPr>
        <xdr:cNvPr id="38" name="TextBox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 txBox="1"/>
      </xdr:nvSpPr>
      <xdr:spPr>
        <a:xfrm>
          <a:off x="4724400" y="1530350"/>
          <a:ext cx="1238250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C6391C9C-1FF1-4070-8A3C-17DCD6C3C1A4}" type="TxLink">
            <a:rPr lang="en-US" sz="18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1000.00</a:t>
          </a:fld>
          <a:endParaRPr lang="en-CA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317500</xdr:colOff>
      <xdr:row>8</xdr:row>
      <xdr:rowOff>107950</xdr:rowOff>
    </xdr:from>
    <xdr:to>
      <xdr:col>7</xdr:col>
      <xdr:colOff>552450</xdr:colOff>
      <xdr:row>9</xdr:row>
      <xdr:rowOff>158750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 txBox="1"/>
      </xdr:nvSpPr>
      <xdr:spPr>
        <a:xfrm>
          <a:off x="4584700" y="1581150"/>
          <a:ext cx="234950" cy="234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solidFill>
                <a:sysClr val="windowText" lastClr="000000"/>
              </a:solidFill>
            </a:rPr>
            <a:t>$</a:t>
          </a:r>
        </a:p>
      </xdr:txBody>
    </xdr:sp>
    <xdr:clientData/>
  </xdr:twoCellAnchor>
  <xdr:twoCellAnchor>
    <xdr:from>
      <xdr:col>13</xdr:col>
      <xdr:colOff>100468</xdr:colOff>
      <xdr:row>8</xdr:row>
      <xdr:rowOff>99424</xdr:rowOff>
    </xdr:from>
    <xdr:to>
      <xdr:col>14</xdr:col>
      <xdr:colOff>76199</xdr:colOff>
      <xdr:row>9</xdr:row>
      <xdr:rowOff>184149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 txBox="1"/>
      </xdr:nvSpPr>
      <xdr:spPr>
        <a:xfrm>
          <a:off x="8133218" y="1572624"/>
          <a:ext cx="191631" cy="268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solidFill>
                <a:sysClr val="windowText" lastClr="000000"/>
              </a:solidFill>
            </a:rPr>
            <a:t>$</a:t>
          </a:r>
        </a:p>
      </xdr:txBody>
    </xdr:sp>
    <xdr:clientData/>
  </xdr:twoCellAnchor>
  <xdr:twoCellAnchor>
    <xdr:from>
      <xdr:col>19</xdr:col>
      <xdr:colOff>83333</xdr:colOff>
      <xdr:row>8</xdr:row>
      <xdr:rowOff>85073</xdr:rowOff>
    </xdr:from>
    <xdr:to>
      <xdr:col>19</xdr:col>
      <xdr:colOff>318283</xdr:colOff>
      <xdr:row>9</xdr:row>
      <xdr:rowOff>135873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1665733" y="1558273"/>
          <a:ext cx="234950" cy="234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solidFill>
                <a:sysClr val="windowText" lastClr="000000"/>
              </a:solidFill>
            </a:rPr>
            <a:t>$</a:t>
          </a:r>
        </a:p>
      </xdr:txBody>
    </xdr:sp>
    <xdr:clientData/>
  </xdr:twoCellAnchor>
  <xdr:twoCellAnchor>
    <xdr:from>
      <xdr:col>14</xdr:col>
      <xdr:colOff>36968</xdr:colOff>
      <xdr:row>8</xdr:row>
      <xdr:rowOff>54975</xdr:rowOff>
    </xdr:from>
    <xdr:to>
      <xdr:col>16</xdr:col>
      <xdr:colOff>133350</xdr:colOff>
      <xdr:row>10</xdr:row>
      <xdr:rowOff>4175</xdr:rowOff>
    </xdr:to>
    <xdr:sp macro="" textlink="DataBase!B3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8285618" y="1528175"/>
          <a:ext cx="1106032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CC6D353B-D8EA-4ADF-B8F9-B27DEE307699}" type="TxLink">
            <a:rPr lang="en-US" sz="18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1000.00</a:t>
          </a:fld>
          <a:endParaRPr lang="en-CA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19</xdr:col>
      <xdr:colOff>210332</xdr:colOff>
      <xdr:row>8</xdr:row>
      <xdr:rowOff>40623</xdr:rowOff>
    </xdr:from>
    <xdr:to>
      <xdr:col>21</xdr:col>
      <xdr:colOff>165100</xdr:colOff>
      <xdr:row>9</xdr:row>
      <xdr:rowOff>173973</xdr:rowOff>
    </xdr:to>
    <xdr:sp macro="" textlink="DataBase!B2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1792732" y="1513823"/>
          <a:ext cx="1173968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C1F7F394-608E-4D0B-89C4-F00BD8A95D76}" type="TxLink">
            <a:rPr lang="en-US" sz="18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0.00</a:t>
          </a:fld>
          <a:endParaRPr lang="en-CA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400050</xdr:colOff>
      <xdr:row>2</xdr:row>
      <xdr:rowOff>177800</xdr:rowOff>
    </xdr:from>
    <xdr:to>
      <xdr:col>22</xdr:col>
      <xdr:colOff>107950</xdr:colOff>
      <xdr:row>4</xdr:row>
      <xdr:rowOff>158750</xdr:rowOff>
    </xdr:to>
    <xdr:sp macro="" textlink="DataBase!B4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2592050" y="546100"/>
          <a:ext cx="927100" cy="349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C20E618D-7236-40B2-AA62-F8E7C2E05E20}" type="TxLink">
            <a:rPr lang="en-US" sz="1200" b="1" i="0" u="none" strike="noStrike">
              <a:solidFill>
                <a:schemeClr val="accent1">
                  <a:lumMod val="75000"/>
                </a:schemeClr>
              </a:solidFill>
              <a:latin typeface="Calibri"/>
              <a:cs typeface="Calibri"/>
            </a:rPr>
            <a:pPr algn="l"/>
            <a:t>2022-12-21</a:t>
          </a:fld>
          <a:endParaRPr lang="en-CA" sz="1400" b="1">
            <a:solidFill>
              <a:schemeClr val="accent1">
                <a:lumMod val="75000"/>
              </a:schemeClr>
            </a:solidFill>
          </a:endParaRPr>
        </a:p>
      </xdr:txBody>
    </xdr:sp>
    <xdr:clientData/>
  </xdr:twoCellAnchor>
  <xdr:twoCellAnchor>
    <xdr:from>
      <xdr:col>19</xdr:col>
      <xdr:colOff>590550</xdr:colOff>
      <xdr:row>2</xdr:row>
      <xdr:rowOff>171450</xdr:rowOff>
    </xdr:from>
    <xdr:to>
      <xdr:col>20</xdr:col>
      <xdr:colOff>520700</xdr:colOff>
      <xdr:row>4</xdr:row>
      <xdr:rowOff>76200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12172950" y="539750"/>
          <a:ext cx="539750" cy="273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solidFill>
                <a:schemeClr val="accent1">
                  <a:lumMod val="75000"/>
                </a:schemeClr>
              </a:solidFill>
            </a:rPr>
            <a:t>Date:</a:t>
          </a:r>
        </a:p>
      </xdr:txBody>
    </xdr:sp>
    <xdr:clientData/>
  </xdr:twoCellAnchor>
  <xdr:twoCellAnchor>
    <xdr:from>
      <xdr:col>4</xdr:col>
      <xdr:colOff>488950</xdr:colOff>
      <xdr:row>13</xdr:row>
      <xdr:rowOff>133350</xdr:rowOff>
    </xdr:from>
    <xdr:to>
      <xdr:col>13</xdr:col>
      <xdr:colOff>76200</xdr:colOff>
      <xdr:row>16</xdr:row>
      <xdr:rowOff>107950</xdr:rowOff>
    </xdr:to>
    <xdr:sp macro="" textlink="">
      <xdr:nvSpPr>
        <xdr:cNvPr id="46" name="Rectangle: Rounded Corners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2927350" y="2527300"/>
          <a:ext cx="5181600" cy="673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260350</xdr:colOff>
      <xdr:row>14</xdr:row>
      <xdr:rowOff>38100</xdr:rowOff>
    </xdr:from>
    <xdr:to>
      <xdr:col>12</xdr:col>
      <xdr:colOff>342900</xdr:colOff>
      <xdr:row>16</xdr:row>
      <xdr:rowOff>107950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4527550" y="2616200"/>
          <a:ext cx="3130550" cy="584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2400" b="1">
              <a:solidFill>
                <a:schemeClr val="bg1"/>
              </a:solidFill>
            </a:rPr>
            <a:t>Add Expenses</a:t>
          </a:r>
        </a:p>
      </xdr:txBody>
    </xdr:sp>
    <xdr:clientData/>
  </xdr:twoCellAnchor>
  <xdr:twoCellAnchor>
    <xdr:from>
      <xdr:col>5</xdr:col>
      <xdr:colOff>203200</xdr:colOff>
      <xdr:row>17</xdr:row>
      <xdr:rowOff>120650</xdr:rowOff>
    </xdr:from>
    <xdr:to>
      <xdr:col>6</xdr:col>
      <xdr:colOff>527050</xdr:colOff>
      <xdr:row>19</xdr:row>
      <xdr:rowOff>31750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 txBox="1"/>
      </xdr:nvSpPr>
      <xdr:spPr>
        <a:xfrm>
          <a:off x="3251200" y="3397250"/>
          <a:ext cx="933450" cy="279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solidFill>
                <a:sysClr val="windowText" lastClr="000000"/>
              </a:solidFill>
            </a:rPr>
            <a:t>Category</a:t>
          </a:r>
        </a:p>
      </xdr:txBody>
    </xdr:sp>
    <xdr:clientData/>
  </xdr:twoCellAnchor>
  <xdr:twoCellAnchor>
    <xdr:from>
      <xdr:col>5</xdr:col>
      <xdr:colOff>184150</xdr:colOff>
      <xdr:row>24</xdr:row>
      <xdr:rowOff>6350</xdr:rowOff>
    </xdr:from>
    <xdr:to>
      <xdr:col>6</xdr:col>
      <xdr:colOff>508000</xdr:colOff>
      <xdr:row>25</xdr:row>
      <xdr:rowOff>171450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3232150" y="4572000"/>
          <a:ext cx="933450" cy="349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solidFill>
                <a:sysClr val="windowText" lastClr="000000"/>
              </a:solidFill>
            </a:rPr>
            <a:t>Price</a:t>
          </a:r>
        </a:p>
      </xdr:txBody>
    </xdr:sp>
    <xdr:clientData/>
  </xdr:twoCellAnchor>
  <xdr:twoCellAnchor>
    <xdr:from>
      <xdr:col>5</xdr:col>
      <xdr:colOff>190500</xdr:colOff>
      <xdr:row>20</xdr:row>
      <xdr:rowOff>146050</xdr:rowOff>
    </xdr:from>
    <xdr:to>
      <xdr:col>6</xdr:col>
      <xdr:colOff>571500</xdr:colOff>
      <xdr:row>22</xdr:row>
      <xdr:rowOff>69850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 txBox="1"/>
      </xdr:nvSpPr>
      <xdr:spPr>
        <a:xfrm>
          <a:off x="3238500" y="3975100"/>
          <a:ext cx="990600" cy="292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solidFill>
                <a:sysClr val="windowText" lastClr="000000"/>
              </a:solidFill>
            </a:rPr>
            <a:t>Item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336550</xdr:colOff>
          <xdr:row>19</xdr:row>
          <xdr:rowOff>158750</xdr:rowOff>
        </xdr:from>
        <xdr:to>
          <xdr:col>10</xdr:col>
          <xdr:colOff>482600</xdr:colOff>
          <xdr:row>24</xdr:row>
          <xdr:rowOff>63500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2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209550</xdr:colOff>
      <xdr:row>13</xdr:row>
      <xdr:rowOff>133350</xdr:rowOff>
    </xdr:from>
    <xdr:to>
      <xdr:col>21</xdr:col>
      <xdr:colOff>260350</xdr:colOff>
      <xdr:row>16</xdr:row>
      <xdr:rowOff>107950</xdr:rowOff>
    </xdr:to>
    <xdr:sp macro="" textlink="">
      <xdr:nvSpPr>
        <xdr:cNvPr id="56" name="Rectangle: Rounded Corners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/>
      </xdr:nvSpPr>
      <xdr:spPr>
        <a:xfrm>
          <a:off x="8242300" y="2527300"/>
          <a:ext cx="4483100" cy="673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14</xdr:col>
      <xdr:colOff>254000</xdr:colOff>
      <xdr:row>14</xdr:row>
      <xdr:rowOff>50800</xdr:rowOff>
    </xdr:from>
    <xdr:to>
      <xdr:col>20</xdr:col>
      <xdr:colOff>476250</xdr:colOff>
      <xdr:row>15</xdr:row>
      <xdr:rowOff>254000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 txBox="1"/>
      </xdr:nvSpPr>
      <xdr:spPr>
        <a:xfrm>
          <a:off x="8502650" y="2628900"/>
          <a:ext cx="3752850" cy="387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2400" b="1">
              <a:solidFill>
                <a:schemeClr val="bg1"/>
              </a:solidFill>
            </a:rPr>
            <a:t>Date  Category  Item  Price</a:t>
          </a:r>
        </a:p>
      </xdr:txBody>
    </xdr:sp>
    <xdr:clientData/>
  </xdr:twoCellAnchor>
  <xdr:twoCellAnchor>
    <xdr:from>
      <xdr:col>4</xdr:col>
      <xdr:colOff>473213</xdr:colOff>
      <xdr:row>29</xdr:row>
      <xdr:rowOff>114300</xdr:rowOff>
    </xdr:from>
    <xdr:to>
      <xdr:col>13</xdr:col>
      <xdr:colOff>60463</xdr:colOff>
      <xdr:row>33</xdr:row>
      <xdr:rowOff>50800</xdr:rowOff>
    </xdr:to>
    <xdr:sp macro="" textlink="">
      <xdr:nvSpPr>
        <xdr:cNvPr id="58" name="Rectangle: Rounded Corners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>
          <a:off x="2911613" y="5600700"/>
          <a:ext cx="5181600" cy="673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187463</xdr:colOff>
      <xdr:row>30</xdr:row>
      <xdr:rowOff>6350</xdr:rowOff>
    </xdr:from>
    <xdr:to>
      <xdr:col>12</xdr:col>
      <xdr:colOff>270013</xdr:colOff>
      <xdr:row>33</xdr:row>
      <xdr:rowOff>38100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 txBox="1"/>
      </xdr:nvSpPr>
      <xdr:spPr>
        <a:xfrm>
          <a:off x="4454663" y="5676900"/>
          <a:ext cx="3130550" cy="584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2400" b="1">
              <a:solidFill>
                <a:schemeClr val="bg1"/>
              </a:solidFill>
            </a:rPr>
            <a:t>Total Expenses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234950</xdr:colOff>
          <xdr:row>40</xdr:row>
          <xdr:rowOff>158750</xdr:rowOff>
        </xdr:from>
        <xdr:to>
          <xdr:col>16</xdr:col>
          <xdr:colOff>654050</xdr:colOff>
          <xdr:row>42</xdr:row>
          <xdr:rowOff>38100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2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317500</xdr:colOff>
      <xdr:row>34</xdr:row>
      <xdr:rowOff>146050</xdr:rowOff>
    </xdr:from>
    <xdr:to>
      <xdr:col>7</xdr:col>
      <xdr:colOff>539750</xdr:colOff>
      <xdr:row>38</xdr:row>
      <xdr:rowOff>31750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365500" y="6553200"/>
          <a:ext cx="1441450" cy="622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3600" b="1">
              <a:solidFill>
                <a:sysClr val="windowText" lastClr="000000"/>
              </a:solidFill>
            </a:rPr>
            <a:t>Total: </a:t>
          </a:r>
        </a:p>
      </xdr:txBody>
    </xdr:sp>
    <xdr:clientData/>
  </xdr:twoCellAnchor>
  <xdr:twoCellAnchor>
    <xdr:from>
      <xdr:col>8</xdr:col>
      <xdr:colOff>209550</xdr:colOff>
      <xdr:row>35</xdr:row>
      <xdr:rowOff>44450</xdr:rowOff>
    </xdr:from>
    <xdr:to>
      <xdr:col>9</xdr:col>
      <xdr:colOff>133350</xdr:colOff>
      <xdr:row>38</xdr:row>
      <xdr:rowOff>38100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/>
      </xdr:nvSpPr>
      <xdr:spPr>
        <a:xfrm>
          <a:off x="5086350" y="6635750"/>
          <a:ext cx="533400" cy="546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2800" b="1">
              <a:solidFill>
                <a:sysClr val="windowText" lastClr="000000"/>
              </a:solidFill>
            </a:rPr>
            <a:t>$</a:t>
          </a:r>
        </a:p>
      </xdr:txBody>
    </xdr:sp>
    <xdr:clientData/>
  </xdr:twoCellAnchor>
  <xdr:twoCellAnchor>
    <xdr:from>
      <xdr:col>8</xdr:col>
      <xdr:colOff>565150</xdr:colOff>
      <xdr:row>34</xdr:row>
      <xdr:rowOff>165100</xdr:rowOff>
    </xdr:from>
    <xdr:to>
      <xdr:col>12</xdr:col>
      <xdr:colOff>666750</xdr:colOff>
      <xdr:row>38</xdr:row>
      <xdr:rowOff>12700</xdr:rowOff>
    </xdr:to>
    <xdr:sp macro="" textlink="Expenses!$T$42">
      <xdr:nvSpPr>
        <xdr:cNvPr id="51" name="TextBox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 txBox="1"/>
      </xdr:nvSpPr>
      <xdr:spPr>
        <a:xfrm>
          <a:off x="5441950" y="6572250"/>
          <a:ext cx="2540000" cy="584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3B4954AA-D48E-47F9-BD52-7775688F8228}" type="TxLink">
            <a:rPr lang="en-US" sz="36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0.00</a:t>
          </a:fld>
          <a:endParaRPr lang="en-CA" sz="4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31200</xdr:colOff>
      <xdr:row>50</xdr:row>
      <xdr:rowOff>82550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2469600" cy="9290050"/>
        </a:xfrm>
        <a:prstGeom prst="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29680</xdr:colOff>
      <xdr:row>2</xdr:row>
      <xdr:rowOff>127552</xdr:rowOff>
    </xdr:from>
    <xdr:to>
      <xdr:col>4</xdr:col>
      <xdr:colOff>29680</xdr:colOff>
      <xdr:row>47</xdr:row>
      <xdr:rowOff>51354</xdr:rowOff>
    </xdr:to>
    <xdr:sp macro="" textlink="">
      <xdr:nvSpPr>
        <xdr:cNvPr id="3" name="Rectangle: Top Corners Rounded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6200000">
          <a:off x="-2551596" y="3686728"/>
          <a:ext cx="8210552" cy="1828800"/>
        </a:xfrm>
        <a:prstGeom prst="round2Same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endParaRPr lang="en-CA" sz="1100"/>
        </a:p>
      </xdr:txBody>
    </xdr:sp>
    <xdr:clientData/>
  </xdr:twoCellAnchor>
  <xdr:twoCellAnchor>
    <xdr:from>
      <xdr:col>4</xdr:col>
      <xdr:colOff>44450</xdr:colOff>
      <xdr:row>2</xdr:row>
      <xdr:rowOff>120650</xdr:rowOff>
    </xdr:from>
    <xdr:to>
      <xdr:col>22</xdr:col>
      <xdr:colOff>533400</xdr:colOff>
      <xdr:row>47</xdr:row>
      <xdr:rowOff>44452</xdr:rowOff>
    </xdr:to>
    <xdr:sp macro="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 rot="5400000">
          <a:off x="4108449" y="-1136649"/>
          <a:ext cx="8210552" cy="11461750"/>
        </a:xfrm>
        <a:prstGeom prst="round2SameRect">
          <a:avLst>
            <a:gd name="adj1" fmla="val 4370"/>
            <a:gd name="adj2" fmla="val 0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endParaRPr lang="en-CA" sz="1100"/>
        </a:p>
      </xdr:txBody>
    </xdr:sp>
    <xdr:clientData/>
  </xdr:twoCellAnchor>
  <xdr:twoCellAnchor>
    <xdr:from>
      <xdr:col>1</xdr:col>
      <xdr:colOff>451886</xdr:colOff>
      <xdr:row>20</xdr:row>
      <xdr:rowOff>147012</xdr:rowOff>
    </xdr:from>
    <xdr:to>
      <xdr:col>4</xdr:col>
      <xdr:colOff>54665</xdr:colOff>
      <xdr:row>25</xdr:row>
      <xdr:rowOff>178976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61486" y="3830012"/>
          <a:ext cx="1431579" cy="952714"/>
          <a:chOff x="625475" y="488950"/>
          <a:chExt cx="1432174" cy="952968"/>
        </a:xfrm>
        <a:solidFill>
          <a:schemeClr val="bg2"/>
        </a:solidFill>
      </xdr:grpSpPr>
      <xdr:sp macro="" textlink="">
        <xdr:nvSpPr>
          <xdr:cNvPr id="6" name="Rectangle: Top Corners Rounded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 rot="16200000">
            <a:off x="945875" y="370213"/>
            <a:ext cx="547200" cy="1188000"/>
          </a:xfrm>
          <a:prstGeom prst="round2SameRect">
            <a:avLst>
              <a:gd name="adj1" fmla="val 50000"/>
              <a:gd name="adj2" fmla="val 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CA" sz="1100"/>
          </a:p>
        </xdr:txBody>
      </xdr:sp>
      <xdr:sp macro="" textlink="">
        <xdr:nvSpPr>
          <xdr:cNvPr id="7" name="Freeform: Shape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1782486" y="488950"/>
            <a:ext cx="275163" cy="952968"/>
          </a:xfrm>
          <a:custGeom>
            <a:avLst/>
            <a:gdLst>
              <a:gd name="connsiteX0" fmla="*/ 244174 w 244174"/>
              <a:gd name="connsiteY0" fmla="*/ 0 h 928972"/>
              <a:gd name="connsiteX1" fmla="*/ 244174 w 244174"/>
              <a:gd name="connsiteY1" fmla="*/ 928972 h 928972"/>
              <a:gd name="connsiteX2" fmla="*/ 230268 w 244174"/>
              <a:gd name="connsiteY2" fmla="*/ 884175 h 928972"/>
              <a:gd name="connsiteX3" fmla="*/ 0 w 244174"/>
              <a:gd name="connsiteY3" fmla="*/ 731543 h 928972"/>
              <a:gd name="connsiteX4" fmla="*/ 0 w 244174"/>
              <a:gd name="connsiteY4" fmla="*/ 197429 h 928972"/>
              <a:gd name="connsiteX5" fmla="*/ 230268 w 244174"/>
              <a:gd name="connsiteY5" fmla="*/ 44797 h 928972"/>
              <a:gd name="connsiteX6" fmla="*/ 244174 w 244174"/>
              <a:gd name="connsiteY6" fmla="*/ 0 h 92897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244174" h="928972">
                <a:moveTo>
                  <a:pt x="244174" y="0"/>
                </a:moveTo>
                <a:lnTo>
                  <a:pt x="244174" y="928972"/>
                </a:lnTo>
                <a:lnTo>
                  <a:pt x="230268" y="884175"/>
                </a:lnTo>
                <a:cubicBezTo>
                  <a:pt x="192330" y="794480"/>
                  <a:pt x="103515" y="731543"/>
                  <a:pt x="0" y="731543"/>
                </a:cubicBezTo>
                <a:lnTo>
                  <a:pt x="0" y="197429"/>
                </a:lnTo>
                <a:cubicBezTo>
                  <a:pt x="103515" y="197429"/>
                  <a:pt x="192330" y="134493"/>
                  <a:pt x="230268" y="44797"/>
                </a:cubicBezTo>
                <a:lnTo>
                  <a:pt x="244174" y="0"/>
                </a:lnTo>
                <a:close/>
              </a:path>
            </a:pathLst>
          </a:cu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CA"/>
          </a:p>
        </xdr:txBody>
      </xdr:sp>
    </xdr:grpSp>
    <xdr:clientData/>
  </xdr:twoCellAnchor>
  <xdr:twoCellAnchor editAs="oneCell">
    <xdr:from>
      <xdr:col>1</xdr:col>
      <xdr:colOff>529354</xdr:colOff>
      <xdr:row>3</xdr:row>
      <xdr:rowOff>157906</xdr:rowOff>
    </xdr:from>
    <xdr:to>
      <xdr:col>3</xdr:col>
      <xdr:colOff>161296</xdr:colOff>
      <xdr:row>8</xdr:row>
      <xdr:rowOff>93283</xdr:rowOff>
    </xdr:to>
    <xdr:pic>
      <xdr:nvPicPr>
        <xdr:cNvPr id="8" name="Picture 7" descr="University of Waterloo - Wikipedia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8954" y="710356"/>
          <a:ext cx="851142" cy="8561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</xdr:col>
      <xdr:colOff>65463</xdr:colOff>
      <xdr:row>10</xdr:row>
      <xdr:rowOff>72010</xdr:rowOff>
    </xdr:from>
    <xdr:ext cx="973990" cy="280205"/>
    <xdr:sp macro="" textlink="">
      <xdr:nvSpPr>
        <xdr:cNvPr id="9" name="TextBox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1284663" y="1913510"/>
          <a:ext cx="973990" cy="280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200" b="1">
              <a:solidFill>
                <a:schemeClr val="bg1"/>
              </a:solidFill>
            </a:rPr>
            <a:t>Dashboard</a:t>
          </a:r>
        </a:p>
      </xdr:txBody>
    </xdr:sp>
    <xdr:clientData/>
  </xdr:oneCellAnchor>
  <xdr:twoCellAnchor>
    <xdr:from>
      <xdr:col>4</xdr:col>
      <xdr:colOff>464795</xdr:colOff>
      <xdr:row>2</xdr:row>
      <xdr:rowOff>124381</xdr:rowOff>
    </xdr:from>
    <xdr:to>
      <xdr:col>22</xdr:col>
      <xdr:colOff>176753</xdr:colOff>
      <xdr:row>4</xdr:row>
      <xdr:rowOff>163660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903195" y="492681"/>
          <a:ext cx="10684758" cy="40757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562988</xdr:colOff>
      <xdr:row>3</xdr:row>
      <xdr:rowOff>0</xdr:rowOff>
    </xdr:from>
    <xdr:to>
      <xdr:col>10</xdr:col>
      <xdr:colOff>248762</xdr:colOff>
      <xdr:row>4</xdr:row>
      <xdr:rowOff>144020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3001388" y="552450"/>
          <a:ext cx="3343374" cy="3281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200" b="1">
              <a:solidFill>
                <a:schemeClr val="accent1">
                  <a:lumMod val="75000"/>
                </a:schemeClr>
              </a:solidFill>
            </a:rPr>
            <a:t>Goals</a:t>
          </a:r>
        </a:p>
      </xdr:txBody>
    </xdr:sp>
    <xdr:clientData/>
  </xdr:twoCellAnchor>
  <xdr:twoCellAnchor>
    <xdr:from>
      <xdr:col>4</xdr:col>
      <xdr:colOff>562296</xdr:colOff>
      <xdr:row>6</xdr:row>
      <xdr:rowOff>6545</xdr:rowOff>
    </xdr:from>
    <xdr:to>
      <xdr:col>9</xdr:col>
      <xdr:colOff>569536</xdr:colOff>
      <xdr:row>12</xdr:row>
      <xdr:rowOff>6584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3000696" y="1111445"/>
          <a:ext cx="3055240" cy="1104939"/>
          <a:chOff x="2997912" y="1102572"/>
          <a:chExt cx="3051761" cy="1096067"/>
        </a:xfrm>
      </xdr:grpSpPr>
      <xdr:sp macro="" textlink="">
        <xdr:nvSpPr>
          <xdr:cNvPr id="13" name="Rectangle: Top Corners Rounded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 rot="5400000">
            <a:off x="4038977" y="186110"/>
            <a:ext cx="1094234" cy="2927158"/>
          </a:xfrm>
          <a:prstGeom prst="round2Same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>
              <a:solidFill>
                <a:schemeClr val="bg1"/>
              </a:solidFill>
            </a:endParaRPr>
          </a:p>
        </xdr:txBody>
      </xdr:sp>
      <xdr:sp macro="" textlink="">
        <xdr:nvSpPr>
          <xdr:cNvPr id="14" name="Rectangle: Top Corners Rounded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 rot="16200000">
            <a:off x="2512396" y="1589921"/>
            <a:ext cx="1094234" cy="123201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6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>
              <a:solidFill>
                <a:schemeClr val="accent4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10</xdr:col>
      <xdr:colOff>456069</xdr:colOff>
      <xdr:row>6</xdr:row>
      <xdr:rowOff>10525</xdr:rowOff>
    </xdr:from>
    <xdr:to>
      <xdr:col>15</xdr:col>
      <xdr:colOff>463309</xdr:colOff>
      <xdr:row>12</xdr:row>
      <xdr:rowOff>10564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pSpPr/>
      </xdr:nvGrpSpPr>
      <xdr:grpSpPr>
        <a:xfrm>
          <a:off x="6552069" y="1115425"/>
          <a:ext cx="3055240" cy="1104939"/>
          <a:chOff x="2997912" y="1102572"/>
          <a:chExt cx="3051761" cy="1096067"/>
        </a:xfrm>
      </xdr:grpSpPr>
      <xdr:sp macro="" textlink="">
        <xdr:nvSpPr>
          <xdr:cNvPr id="16" name="Rectangle: Top Corners Rounded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 rot="5400000">
            <a:off x="4038977" y="186110"/>
            <a:ext cx="1094234" cy="2927158"/>
          </a:xfrm>
          <a:prstGeom prst="round2Same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>
              <a:solidFill>
                <a:schemeClr val="bg1"/>
              </a:solidFill>
            </a:endParaRPr>
          </a:p>
        </xdr:txBody>
      </xdr:sp>
      <xdr:sp macro="" textlink="">
        <xdr:nvSpPr>
          <xdr:cNvPr id="17" name="Rectangle: Top Corners Rounded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 rot="16200000">
            <a:off x="2512396" y="1589921"/>
            <a:ext cx="1094234" cy="123201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4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/>
          </a:p>
        </xdr:txBody>
      </xdr:sp>
    </xdr:grpSp>
    <xdr:clientData/>
  </xdr:twoCellAnchor>
  <xdr:twoCellAnchor>
    <xdr:from>
      <xdr:col>16</xdr:col>
      <xdr:colOff>369083</xdr:colOff>
      <xdr:row>6</xdr:row>
      <xdr:rowOff>27923</xdr:rowOff>
    </xdr:from>
    <xdr:to>
      <xdr:col>21</xdr:col>
      <xdr:colOff>376324</xdr:colOff>
      <xdr:row>12</xdr:row>
      <xdr:rowOff>27962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10122683" y="1132823"/>
          <a:ext cx="3055241" cy="1104939"/>
          <a:chOff x="2997912" y="1102572"/>
          <a:chExt cx="3051761" cy="1096067"/>
        </a:xfrm>
      </xdr:grpSpPr>
      <xdr:sp macro="" textlink="">
        <xdr:nvSpPr>
          <xdr:cNvPr id="19" name="Rectangle: Top Corners Rounded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 rot="5400000">
            <a:off x="4038977" y="186110"/>
            <a:ext cx="1094234" cy="2927158"/>
          </a:xfrm>
          <a:prstGeom prst="round2Same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>
              <a:solidFill>
                <a:schemeClr val="bg1"/>
              </a:solidFill>
            </a:endParaRPr>
          </a:p>
        </xdr:txBody>
      </xdr:sp>
      <xdr:sp macro="" textlink="">
        <xdr:nvSpPr>
          <xdr:cNvPr id="20" name="Rectangle: Top Corners Rounded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 rot="16200000">
            <a:off x="2512396" y="1589921"/>
            <a:ext cx="1094234" cy="123201"/>
          </a:xfrm>
          <a:prstGeom prst="round2SameRect">
            <a:avLst>
              <a:gd name="adj1" fmla="val 50000"/>
              <a:gd name="adj2" fmla="val 0"/>
            </a:avLst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/>
          </a:p>
        </xdr:txBody>
      </xdr:sp>
    </xdr:grpSp>
    <xdr:clientData/>
  </xdr:twoCellAnchor>
  <xdr:twoCellAnchor>
    <xdr:from>
      <xdr:col>4</xdr:col>
      <xdr:colOff>555158</xdr:colOff>
      <xdr:row>13</xdr:row>
      <xdr:rowOff>103343</xdr:rowOff>
    </xdr:from>
    <xdr:to>
      <xdr:col>13</xdr:col>
      <xdr:colOff>151848</xdr:colOff>
      <xdr:row>26</xdr:row>
      <xdr:rowOff>103343</xdr:rowOff>
    </xdr:to>
    <xdr:sp macro="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2993558" y="2497293"/>
          <a:ext cx="5083090" cy="2393950"/>
        </a:xfrm>
        <a:prstGeom prst="roundRect">
          <a:avLst>
            <a:gd name="adj" fmla="val 3608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13</xdr:col>
      <xdr:colOff>313582</xdr:colOff>
      <xdr:row>13</xdr:row>
      <xdr:rowOff>103343</xdr:rowOff>
    </xdr:from>
    <xdr:to>
      <xdr:col>22</xdr:col>
      <xdr:colOff>12700</xdr:colOff>
      <xdr:row>26</xdr:row>
      <xdr:rowOff>103343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8238382" y="2497293"/>
          <a:ext cx="5185518" cy="2393950"/>
        </a:xfrm>
        <a:prstGeom prst="roundRect">
          <a:avLst>
            <a:gd name="adj" fmla="val 3608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562113</xdr:colOff>
      <xdr:row>27</xdr:row>
      <xdr:rowOff>65432</xdr:rowOff>
    </xdr:from>
    <xdr:to>
      <xdr:col>10</xdr:col>
      <xdr:colOff>234950</xdr:colOff>
      <xdr:row>40</xdr:row>
      <xdr:rowOff>65432</xdr:rowOff>
    </xdr:to>
    <xdr:sp macro="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3000513" y="5037482"/>
          <a:ext cx="3330437" cy="2393950"/>
        </a:xfrm>
        <a:prstGeom prst="roundRect">
          <a:avLst>
            <a:gd name="adj" fmla="val 3608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 editAs="oneCell">
    <xdr:from>
      <xdr:col>11</xdr:col>
      <xdr:colOff>62122</xdr:colOff>
      <xdr:row>7</xdr:row>
      <xdr:rowOff>20707</xdr:rowOff>
    </xdr:from>
    <xdr:to>
      <xdr:col>12</xdr:col>
      <xdr:colOff>144948</xdr:colOff>
      <xdr:row>10</xdr:row>
      <xdr:rowOff>151849</xdr:rowOff>
    </xdr:to>
    <xdr:pic>
      <xdr:nvPicPr>
        <xdr:cNvPr id="25" name="Graphic 24" descr="Dollar with solid fill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767722" y="1309757"/>
          <a:ext cx="692426" cy="683592"/>
        </a:xfrm>
        <a:prstGeom prst="rect">
          <a:avLst/>
        </a:prstGeom>
      </xdr:spPr>
    </xdr:pic>
    <xdr:clientData/>
  </xdr:twoCellAnchor>
  <xdr:twoCellAnchor editAs="oneCell">
    <xdr:from>
      <xdr:col>5</xdr:col>
      <xdr:colOff>172555</xdr:colOff>
      <xdr:row>7</xdr:row>
      <xdr:rowOff>20707</xdr:rowOff>
    </xdr:from>
    <xdr:to>
      <xdr:col>6</xdr:col>
      <xdr:colOff>262284</xdr:colOff>
      <xdr:row>10</xdr:row>
      <xdr:rowOff>158751</xdr:rowOff>
    </xdr:to>
    <xdr:pic>
      <xdr:nvPicPr>
        <xdr:cNvPr id="26" name="Graphic 25" descr="Piggy Bank with solid fill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20555" y="1309757"/>
          <a:ext cx="699329" cy="690494"/>
        </a:xfrm>
        <a:prstGeom prst="rect">
          <a:avLst/>
        </a:prstGeom>
      </xdr:spPr>
    </xdr:pic>
    <xdr:clientData/>
  </xdr:twoCellAnchor>
  <xdr:twoCellAnchor>
    <xdr:from>
      <xdr:col>6</xdr:col>
      <xdr:colOff>441738</xdr:colOff>
      <xdr:row>7</xdr:row>
      <xdr:rowOff>62119</xdr:rowOff>
    </xdr:from>
    <xdr:to>
      <xdr:col>6</xdr:col>
      <xdr:colOff>441738</xdr:colOff>
      <xdr:row>10</xdr:row>
      <xdr:rowOff>96630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CxnSpPr/>
      </xdr:nvCxnSpPr>
      <xdr:spPr>
        <a:xfrm>
          <a:off x="4099338" y="1351169"/>
          <a:ext cx="0" cy="586961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284067</xdr:colOff>
      <xdr:row>7</xdr:row>
      <xdr:rowOff>59392</xdr:rowOff>
    </xdr:from>
    <xdr:to>
      <xdr:col>12</xdr:col>
      <xdr:colOff>284067</xdr:colOff>
      <xdr:row>10</xdr:row>
      <xdr:rowOff>93903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CxnSpPr/>
      </xdr:nvCxnSpPr>
      <xdr:spPr>
        <a:xfrm>
          <a:off x="7599267" y="1348442"/>
          <a:ext cx="0" cy="586961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251746</xdr:colOff>
      <xdr:row>7</xdr:row>
      <xdr:rowOff>69336</xdr:rowOff>
    </xdr:from>
    <xdr:to>
      <xdr:col>18</xdr:col>
      <xdr:colOff>251746</xdr:colOff>
      <xdr:row>10</xdr:row>
      <xdr:rowOff>103847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CxnSpPr/>
      </xdr:nvCxnSpPr>
      <xdr:spPr>
        <a:xfrm>
          <a:off x="11224546" y="1358386"/>
          <a:ext cx="0" cy="586961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64561</xdr:colOff>
      <xdr:row>14</xdr:row>
      <xdr:rowOff>81233</xdr:rowOff>
    </xdr:from>
    <xdr:to>
      <xdr:col>3</xdr:col>
      <xdr:colOff>437279</xdr:colOff>
      <xdr:row>16</xdr:row>
      <xdr:rowOff>19050</xdr:rowOff>
    </xdr:to>
    <xdr:sp macro="" textlink="">
      <xdr:nvSpPr>
        <xdr:cNvPr id="30" name="TextBox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 txBox="1"/>
      </xdr:nvSpPr>
      <xdr:spPr>
        <a:xfrm>
          <a:off x="1283761" y="2659333"/>
          <a:ext cx="982318" cy="306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solidFill>
                <a:schemeClr val="bg1"/>
              </a:solidFill>
            </a:rPr>
            <a:t>Income</a:t>
          </a:r>
        </a:p>
      </xdr:txBody>
    </xdr:sp>
    <xdr:clientData/>
  </xdr:twoCellAnchor>
  <xdr:twoCellAnchor>
    <xdr:from>
      <xdr:col>2</xdr:col>
      <xdr:colOff>64889</xdr:colOff>
      <xdr:row>18</xdr:row>
      <xdr:rowOff>87943</xdr:rowOff>
    </xdr:from>
    <xdr:to>
      <xdr:col>3</xdr:col>
      <xdr:colOff>431488</xdr:colOff>
      <xdr:row>20</xdr:row>
      <xdr:rowOff>44450</xdr:rowOff>
    </xdr:to>
    <xdr:sp macro="" textlink="">
      <xdr:nvSpPr>
        <xdr:cNvPr id="31" name="TextBox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84089" y="3402643"/>
          <a:ext cx="976199" cy="3248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200" b="1">
              <a:solidFill>
                <a:schemeClr val="bg1"/>
              </a:solidFill>
            </a:rPr>
            <a:t>Expenses</a:t>
          </a:r>
        </a:p>
      </xdr:txBody>
    </xdr:sp>
    <xdr:clientData/>
  </xdr:twoCellAnchor>
  <xdr:twoCellAnchor>
    <xdr:from>
      <xdr:col>2</xdr:col>
      <xdr:colOff>63690</xdr:colOff>
      <xdr:row>22</xdr:row>
      <xdr:rowOff>91116</xdr:rowOff>
    </xdr:from>
    <xdr:to>
      <xdr:col>3</xdr:col>
      <xdr:colOff>430289</xdr:colOff>
      <xdr:row>24</xdr:row>
      <xdr:rowOff>69850</xdr:rowOff>
    </xdr:to>
    <xdr:sp macro="" textlink="">
      <xdr:nvSpPr>
        <xdr:cNvPr id="32" name="TextBox 3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 txBox="1"/>
      </xdr:nvSpPr>
      <xdr:spPr>
        <a:xfrm>
          <a:off x="1282890" y="4142416"/>
          <a:ext cx="976199" cy="347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200" b="1">
              <a:solidFill>
                <a:sysClr val="windowText" lastClr="000000"/>
              </a:solidFill>
            </a:rPr>
            <a:t>Goals</a:t>
          </a:r>
        </a:p>
      </xdr:txBody>
    </xdr:sp>
    <xdr:clientData/>
  </xdr:twoCellAnchor>
  <xdr:twoCellAnchor editAs="oneCell">
    <xdr:from>
      <xdr:col>17</xdr:col>
      <xdr:colOff>57150</xdr:colOff>
      <xdr:row>7</xdr:row>
      <xdr:rowOff>31750</xdr:rowOff>
    </xdr:from>
    <xdr:to>
      <xdr:col>18</xdr:col>
      <xdr:colOff>69850</xdr:colOff>
      <xdr:row>10</xdr:row>
      <xdr:rowOff>101600</xdr:rowOff>
    </xdr:to>
    <xdr:pic>
      <xdr:nvPicPr>
        <xdr:cNvPr id="34" name="Graphic 33" descr="Money outline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0420350" y="1320800"/>
          <a:ext cx="622300" cy="622300"/>
        </a:xfrm>
        <a:prstGeom prst="rect">
          <a:avLst/>
        </a:prstGeom>
      </xdr:spPr>
    </xdr:pic>
    <xdr:clientData/>
  </xdr:twoCellAnchor>
  <xdr:twoCellAnchor>
    <xdr:from>
      <xdr:col>19</xdr:col>
      <xdr:colOff>222250</xdr:colOff>
      <xdr:row>7</xdr:row>
      <xdr:rowOff>12700</xdr:rowOff>
    </xdr:from>
    <xdr:to>
      <xdr:col>20</xdr:col>
      <xdr:colOff>298450</xdr:colOff>
      <xdr:row>8</xdr:row>
      <xdr:rowOff>133350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11804650" y="1301750"/>
          <a:ext cx="6858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solidFill>
                <a:schemeClr val="bg1">
                  <a:lumMod val="65000"/>
                </a:schemeClr>
              </a:solidFill>
            </a:rPr>
            <a:t>Income</a:t>
          </a:r>
        </a:p>
      </xdr:txBody>
    </xdr:sp>
    <xdr:clientData/>
  </xdr:twoCellAnchor>
  <xdr:twoCellAnchor>
    <xdr:from>
      <xdr:col>13</xdr:col>
      <xdr:colOff>30618</xdr:colOff>
      <xdr:row>6</xdr:row>
      <xdr:rowOff>175625</xdr:rowOff>
    </xdr:from>
    <xdr:to>
      <xdr:col>15</xdr:col>
      <xdr:colOff>101599</xdr:colOff>
      <xdr:row>8</xdr:row>
      <xdr:rowOff>112125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 txBox="1"/>
      </xdr:nvSpPr>
      <xdr:spPr>
        <a:xfrm>
          <a:off x="7955418" y="1280525"/>
          <a:ext cx="1290181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solidFill>
                <a:schemeClr val="bg1">
                  <a:lumMod val="65000"/>
                </a:schemeClr>
              </a:solidFill>
            </a:rPr>
            <a:t>Monthly Budget</a:t>
          </a:r>
        </a:p>
      </xdr:txBody>
    </xdr:sp>
    <xdr:clientData/>
  </xdr:twoCellAnchor>
  <xdr:twoCellAnchor>
    <xdr:from>
      <xdr:col>7</xdr:col>
      <xdr:colOff>397196</xdr:colOff>
      <xdr:row>6</xdr:row>
      <xdr:rowOff>165295</xdr:rowOff>
    </xdr:from>
    <xdr:to>
      <xdr:col>8</xdr:col>
      <xdr:colOff>473396</xdr:colOff>
      <xdr:row>8</xdr:row>
      <xdr:rowOff>101795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4664396" y="1270195"/>
          <a:ext cx="68580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solidFill>
                <a:schemeClr val="bg1">
                  <a:lumMod val="65000"/>
                </a:schemeClr>
              </a:solidFill>
            </a:rPr>
            <a:t>Balance</a:t>
          </a:r>
        </a:p>
      </xdr:txBody>
    </xdr:sp>
    <xdr:clientData/>
  </xdr:twoCellAnchor>
  <xdr:twoCellAnchor>
    <xdr:from>
      <xdr:col>7</xdr:col>
      <xdr:colOff>457200</xdr:colOff>
      <xdr:row>8</xdr:row>
      <xdr:rowOff>57150</xdr:rowOff>
    </xdr:from>
    <xdr:to>
      <xdr:col>9</xdr:col>
      <xdr:colOff>482600</xdr:colOff>
      <xdr:row>10</xdr:row>
      <xdr:rowOff>6350</xdr:rowOff>
    </xdr:to>
    <xdr:sp macro="" textlink="DataBase!B16">
      <xdr:nvSpPr>
        <xdr:cNvPr id="38" name="TextBox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 txBox="1"/>
      </xdr:nvSpPr>
      <xdr:spPr>
        <a:xfrm>
          <a:off x="4724400" y="1530350"/>
          <a:ext cx="1244600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B86CF700-5E80-4CCC-A20B-A7927CB2623E}" type="TxLink">
            <a:rPr lang="en-US" sz="18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1000.00</a:t>
          </a:fld>
          <a:endParaRPr lang="en-CA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317500</xdr:colOff>
      <xdr:row>8</xdr:row>
      <xdr:rowOff>107950</xdr:rowOff>
    </xdr:from>
    <xdr:to>
      <xdr:col>7</xdr:col>
      <xdr:colOff>552450</xdr:colOff>
      <xdr:row>9</xdr:row>
      <xdr:rowOff>158750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 txBox="1"/>
      </xdr:nvSpPr>
      <xdr:spPr>
        <a:xfrm>
          <a:off x="4584700" y="1581150"/>
          <a:ext cx="234950" cy="234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solidFill>
                <a:sysClr val="windowText" lastClr="000000"/>
              </a:solidFill>
            </a:rPr>
            <a:t>$</a:t>
          </a:r>
        </a:p>
      </xdr:txBody>
    </xdr:sp>
    <xdr:clientData/>
  </xdr:twoCellAnchor>
  <xdr:twoCellAnchor>
    <xdr:from>
      <xdr:col>13</xdr:col>
      <xdr:colOff>119519</xdr:colOff>
      <xdr:row>8</xdr:row>
      <xdr:rowOff>105775</xdr:rowOff>
    </xdr:from>
    <xdr:to>
      <xdr:col>13</xdr:col>
      <xdr:colOff>354469</xdr:colOff>
      <xdr:row>9</xdr:row>
      <xdr:rowOff>156575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8044319" y="1578975"/>
          <a:ext cx="234950" cy="234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solidFill>
                <a:sysClr val="windowText" lastClr="000000"/>
              </a:solidFill>
            </a:rPr>
            <a:t>$</a:t>
          </a:r>
        </a:p>
      </xdr:txBody>
    </xdr:sp>
    <xdr:clientData/>
  </xdr:twoCellAnchor>
  <xdr:twoCellAnchor>
    <xdr:from>
      <xdr:col>19</xdr:col>
      <xdr:colOff>83333</xdr:colOff>
      <xdr:row>8</xdr:row>
      <xdr:rowOff>85073</xdr:rowOff>
    </xdr:from>
    <xdr:to>
      <xdr:col>19</xdr:col>
      <xdr:colOff>318283</xdr:colOff>
      <xdr:row>9</xdr:row>
      <xdr:rowOff>135873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1665733" y="1558273"/>
          <a:ext cx="234950" cy="234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solidFill>
                <a:sysClr val="windowText" lastClr="000000"/>
              </a:solidFill>
            </a:rPr>
            <a:t>$</a:t>
          </a:r>
        </a:p>
      </xdr:txBody>
    </xdr:sp>
    <xdr:clientData/>
  </xdr:twoCellAnchor>
  <xdr:twoCellAnchor>
    <xdr:from>
      <xdr:col>13</xdr:col>
      <xdr:colOff>284618</xdr:colOff>
      <xdr:row>8</xdr:row>
      <xdr:rowOff>67675</xdr:rowOff>
    </xdr:from>
    <xdr:to>
      <xdr:col>15</xdr:col>
      <xdr:colOff>323849</xdr:colOff>
      <xdr:row>10</xdr:row>
      <xdr:rowOff>16875</xdr:rowOff>
    </xdr:to>
    <xdr:sp macro="" textlink="DataBase!B3">
      <xdr:nvSpPr>
        <xdr:cNvPr id="42" name="TextBox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8209418" y="1540875"/>
          <a:ext cx="1258431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CC6D353B-D8EA-4ADF-B8F9-B27DEE307699}" type="TxLink">
            <a:rPr lang="en-US" sz="18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1000.00</a:t>
          </a:fld>
          <a:endParaRPr lang="en-CA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19</xdr:col>
      <xdr:colOff>210332</xdr:colOff>
      <xdr:row>8</xdr:row>
      <xdr:rowOff>40623</xdr:rowOff>
    </xdr:from>
    <xdr:to>
      <xdr:col>21</xdr:col>
      <xdr:colOff>209550</xdr:colOff>
      <xdr:row>9</xdr:row>
      <xdr:rowOff>173973</xdr:rowOff>
    </xdr:to>
    <xdr:sp macro="" textlink="DataBase!B2">
      <xdr:nvSpPr>
        <xdr:cNvPr id="43" name="TextBox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 txBox="1"/>
      </xdr:nvSpPr>
      <xdr:spPr>
        <a:xfrm>
          <a:off x="11792732" y="1513823"/>
          <a:ext cx="1218418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C1F7F394-608E-4D0B-89C4-F00BD8A95D76}" type="TxLink">
            <a:rPr lang="en-US" sz="18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0.00</a:t>
          </a:fld>
          <a:endParaRPr lang="en-CA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400050</xdr:colOff>
      <xdr:row>2</xdr:row>
      <xdr:rowOff>177800</xdr:rowOff>
    </xdr:from>
    <xdr:to>
      <xdr:col>22</xdr:col>
      <xdr:colOff>107950</xdr:colOff>
      <xdr:row>4</xdr:row>
      <xdr:rowOff>158750</xdr:rowOff>
    </xdr:to>
    <xdr:sp macro="" textlink="DataBase!B4">
      <xdr:nvSpPr>
        <xdr:cNvPr id="44" name="TextBox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 txBox="1"/>
      </xdr:nvSpPr>
      <xdr:spPr>
        <a:xfrm>
          <a:off x="12592050" y="546100"/>
          <a:ext cx="927100" cy="349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C20E618D-7236-40B2-AA62-F8E7C2E05E20}" type="TxLink">
            <a:rPr lang="en-US" sz="1200" b="1" i="0" u="none" strike="noStrike">
              <a:solidFill>
                <a:schemeClr val="accent1">
                  <a:lumMod val="75000"/>
                </a:schemeClr>
              </a:solidFill>
              <a:latin typeface="Calibri"/>
              <a:cs typeface="Calibri"/>
            </a:rPr>
            <a:pPr algn="l"/>
            <a:t>2022-12-21</a:t>
          </a:fld>
          <a:endParaRPr lang="en-CA" sz="1400" b="1">
            <a:solidFill>
              <a:schemeClr val="accent1">
                <a:lumMod val="75000"/>
              </a:schemeClr>
            </a:solidFill>
          </a:endParaRPr>
        </a:p>
      </xdr:txBody>
    </xdr:sp>
    <xdr:clientData/>
  </xdr:twoCellAnchor>
  <xdr:twoCellAnchor>
    <xdr:from>
      <xdr:col>19</xdr:col>
      <xdr:colOff>590550</xdr:colOff>
      <xdr:row>2</xdr:row>
      <xdr:rowOff>171450</xdr:rowOff>
    </xdr:from>
    <xdr:to>
      <xdr:col>20</xdr:col>
      <xdr:colOff>520700</xdr:colOff>
      <xdr:row>4</xdr:row>
      <xdr:rowOff>76200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12172950" y="539750"/>
          <a:ext cx="539750" cy="273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solidFill>
                <a:schemeClr val="accent1">
                  <a:lumMod val="75000"/>
                </a:schemeClr>
              </a:solidFill>
            </a:rPr>
            <a:t>Date:</a:t>
          </a:r>
        </a:p>
      </xdr:txBody>
    </xdr:sp>
    <xdr:clientData/>
  </xdr:twoCellAnchor>
  <xdr:twoCellAnchor>
    <xdr:from>
      <xdr:col>5</xdr:col>
      <xdr:colOff>139700</xdr:colOff>
      <xdr:row>14</xdr:row>
      <xdr:rowOff>171450</xdr:rowOff>
    </xdr:from>
    <xdr:to>
      <xdr:col>7</xdr:col>
      <xdr:colOff>482600</xdr:colOff>
      <xdr:row>25</xdr:row>
      <xdr:rowOff>76200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3187700" y="2749550"/>
          <a:ext cx="1562100" cy="1930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800" b="1">
              <a:solidFill>
                <a:sysClr val="windowText" lastClr="000000"/>
              </a:solidFill>
            </a:rPr>
            <a:t>Save</a:t>
          </a:r>
        </a:p>
        <a:p>
          <a:pPr algn="l"/>
          <a:endParaRPr lang="en-CA" sz="1800" b="1">
            <a:solidFill>
              <a:sysClr val="windowText" lastClr="000000"/>
            </a:solidFill>
          </a:endParaRPr>
        </a:p>
        <a:p>
          <a:pPr algn="l"/>
          <a:r>
            <a:rPr lang="en-CA" sz="1800" b="1">
              <a:solidFill>
                <a:sysClr val="windowText" lastClr="000000"/>
              </a:solidFill>
            </a:rPr>
            <a:t>Invest</a:t>
          </a:r>
        </a:p>
        <a:p>
          <a:pPr algn="l"/>
          <a:endParaRPr lang="en-CA" sz="1800" b="1">
            <a:solidFill>
              <a:sysClr val="windowText" lastClr="000000"/>
            </a:solidFill>
          </a:endParaRPr>
        </a:p>
        <a:p>
          <a:pPr algn="l"/>
          <a:r>
            <a:rPr lang="en-CA" sz="1800" b="1">
              <a:solidFill>
                <a:sysClr val="windowText" lastClr="000000"/>
              </a:solidFill>
            </a:rPr>
            <a:t>Make</a:t>
          </a:r>
          <a:r>
            <a:rPr lang="en-CA" sz="1800" b="1" baseline="0">
              <a:solidFill>
                <a:sysClr val="windowText" lastClr="000000"/>
              </a:solidFill>
            </a:rPr>
            <a:t> payment</a:t>
          </a:r>
          <a:endParaRPr lang="en-CA" sz="1800" b="1">
            <a:solidFill>
              <a:sysClr val="windowText" lastClr="000000"/>
            </a:solidFill>
          </a:endParaRPr>
        </a:p>
        <a:p>
          <a:pPr algn="l"/>
          <a:endParaRPr lang="en-CA" sz="12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184150</xdr:colOff>
          <xdr:row>14</xdr:row>
          <xdr:rowOff>177800</xdr:rowOff>
        </xdr:from>
        <xdr:to>
          <xdr:col>11</xdr:col>
          <xdr:colOff>38100</xdr:colOff>
          <xdr:row>17</xdr:row>
          <xdr:rowOff>38100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3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177800</xdr:colOff>
          <xdr:row>18</xdr:row>
          <xdr:rowOff>63500</xdr:rowOff>
        </xdr:from>
        <xdr:to>
          <xdr:col>11</xdr:col>
          <xdr:colOff>44450</xdr:colOff>
          <xdr:row>20</xdr:row>
          <xdr:rowOff>101600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3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184150</xdr:colOff>
          <xdr:row>21</xdr:row>
          <xdr:rowOff>158750</xdr:rowOff>
        </xdr:from>
        <xdr:to>
          <xdr:col>11</xdr:col>
          <xdr:colOff>50800</xdr:colOff>
          <xdr:row>23</xdr:row>
          <xdr:rowOff>152400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3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313582</xdr:colOff>
      <xdr:row>13</xdr:row>
      <xdr:rowOff>103343</xdr:rowOff>
    </xdr:from>
    <xdr:to>
      <xdr:col>22</xdr:col>
      <xdr:colOff>8782</xdr:colOff>
      <xdr:row>17</xdr:row>
      <xdr:rowOff>39843</xdr:rowOff>
    </xdr:to>
    <xdr:sp macro="" textlink="">
      <xdr:nvSpPr>
        <xdr:cNvPr id="47" name="Rectangle: Rounded Corners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8238382" y="2497293"/>
          <a:ext cx="5181600" cy="673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13</xdr:col>
      <xdr:colOff>603250</xdr:colOff>
      <xdr:row>13</xdr:row>
      <xdr:rowOff>171450</xdr:rowOff>
    </xdr:from>
    <xdr:to>
      <xdr:col>21</xdr:col>
      <xdr:colOff>527050</xdr:colOff>
      <xdr:row>16</xdr:row>
      <xdr:rowOff>152400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8528050" y="2565400"/>
          <a:ext cx="4800600" cy="533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2800" b="1">
              <a:solidFill>
                <a:schemeClr val="bg1"/>
              </a:solidFill>
            </a:rPr>
            <a:t>Total</a:t>
          </a:r>
          <a:r>
            <a:rPr lang="en-CA" sz="2800" b="1" baseline="0">
              <a:solidFill>
                <a:schemeClr val="bg1"/>
              </a:solidFill>
            </a:rPr>
            <a:t> Amount Aside for Goals</a:t>
          </a:r>
          <a:endParaRPr lang="en-CA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434232</xdr:colOff>
      <xdr:row>19</xdr:row>
      <xdr:rowOff>95250</xdr:rowOff>
    </xdr:from>
    <xdr:to>
      <xdr:col>16</xdr:col>
      <xdr:colOff>381000</xdr:colOff>
      <xdr:row>23</xdr:row>
      <xdr:rowOff>135093</xdr:rowOff>
    </xdr:to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 txBox="1"/>
      </xdr:nvSpPr>
      <xdr:spPr>
        <a:xfrm>
          <a:off x="9578232" y="3594100"/>
          <a:ext cx="556368" cy="7764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4000" b="1">
              <a:solidFill>
                <a:sysClr val="windowText" lastClr="000000"/>
              </a:solidFill>
            </a:rPr>
            <a:t>$</a:t>
          </a:r>
        </a:p>
      </xdr:txBody>
    </xdr:sp>
    <xdr:clientData/>
  </xdr:twoCellAnchor>
  <xdr:twoCellAnchor>
    <xdr:from>
      <xdr:col>16</xdr:col>
      <xdr:colOff>406400</xdr:colOff>
      <xdr:row>19</xdr:row>
      <xdr:rowOff>31750</xdr:rowOff>
    </xdr:from>
    <xdr:to>
      <xdr:col>21</xdr:col>
      <xdr:colOff>558800</xdr:colOff>
      <xdr:row>24</xdr:row>
      <xdr:rowOff>76200</xdr:rowOff>
    </xdr:to>
    <xdr:sp macro="" textlink="DataBase!B14">
      <xdr:nvSpPr>
        <xdr:cNvPr id="50" name="TextBox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160000" y="3530600"/>
          <a:ext cx="3200400" cy="965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7D2213A4-FB37-4801-9729-F2442F8D94DC}" type="TxLink">
            <a:rPr lang="en-US" sz="48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0.00</a:t>
          </a:fld>
          <a:endParaRPr lang="en-CA" sz="5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431800</xdr:colOff>
      <xdr:row>27</xdr:row>
      <xdr:rowOff>69850</xdr:rowOff>
    </xdr:from>
    <xdr:to>
      <xdr:col>16</xdr:col>
      <xdr:colOff>104637</xdr:colOff>
      <xdr:row>40</xdr:row>
      <xdr:rowOff>69850</xdr:rowOff>
    </xdr:to>
    <xdr:sp macro="" textlink="">
      <xdr:nvSpPr>
        <xdr:cNvPr id="53" name="Rectangle: Rounded Corners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/>
      </xdr:nvSpPr>
      <xdr:spPr>
        <a:xfrm>
          <a:off x="6527800" y="5041900"/>
          <a:ext cx="3330437" cy="2393950"/>
        </a:xfrm>
        <a:prstGeom prst="roundRect">
          <a:avLst>
            <a:gd name="adj" fmla="val 3608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16</xdr:col>
      <xdr:colOff>330200</xdr:colOff>
      <xdr:row>27</xdr:row>
      <xdr:rowOff>69850</xdr:rowOff>
    </xdr:from>
    <xdr:to>
      <xdr:col>22</xdr:col>
      <xdr:colOff>3037</xdr:colOff>
      <xdr:row>40</xdr:row>
      <xdr:rowOff>69850</xdr:rowOff>
    </xdr:to>
    <xdr:sp macro="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/>
      </xdr:nvSpPr>
      <xdr:spPr>
        <a:xfrm>
          <a:off x="10083800" y="5041900"/>
          <a:ext cx="3330437" cy="2393950"/>
        </a:xfrm>
        <a:prstGeom prst="roundRect">
          <a:avLst>
            <a:gd name="adj" fmla="val 3608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4</xdr:col>
      <xdr:colOff>562113</xdr:colOff>
      <xdr:row>27</xdr:row>
      <xdr:rowOff>65432</xdr:rowOff>
    </xdr:from>
    <xdr:to>
      <xdr:col>10</xdr:col>
      <xdr:colOff>234950</xdr:colOff>
      <xdr:row>31</xdr:row>
      <xdr:rowOff>1932</xdr:rowOff>
    </xdr:to>
    <xdr:sp macro="" textlink="">
      <xdr:nvSpPr>
        <xdr:cNvPr id="55" name="Rectangle: Rounded Corners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/>
      </xdr:nvSpPr>
      <xdr:spPr>
        <a:xfrm>
          <a:off x="3000513" y="5037482"/>
          <a:ext cx="3330437" cy="673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10</xdr:col>
      <xdr:colOff>431800</xdr:colOff>
      <xdr:row>27</xdr:row>
      <xdr:rowOff>69850</xdr:rowOff>
    </xdr:from>
    <xdr:to>
      <xdr:col>16</xdr:col>
      <xdr:colOff>104637</xdr:colOff>
      <xdr:row>31</xdr:row>
      <xdr:rowOff>6350</xdr:rowOff>
    </xdr:to>
    <xdr:sp macro="" textlink="">
      <xdr:nvSpPr>
        <xdr:cNvPr id="56" name="Rectangle: Rounded Corners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/>
      </xdr:nvSpPr>
      <xdr:spPr>
        <a:xfrm>
          <a:off x="6527800" y="5041900"/>
          <a:ext cx="3330437" cy="673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16</xdr:col>
      <xdr:colOff>330200</xdr:colOff>
      <xdr:row>27</xdr:row>
      <xdr:rowOff>69850</xdr:rowOff>
    </xdr:from>
    <xdr:to>
      <xdr:col>22</xdr:col>
      <xdr:colOff>3037</xdr:colOff>
      <xdr:row>31</xdr:row>
      <xdr:rowOff>6350</xdr:rowOff>
    </xdr:to>
    <xdr:sp macro="" textlink="">
      <xdr:nvSpPr>
        <xdr:cNvPr id="57" name="Rectangle: Rounded Corners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/>
      </xdr:nvSpPr>
      <xdr:spPr>
        <a:xfrm>
          <a:off x="10083800" y="5041900"/>
          <a:ext cx="3330437" cy="673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6</xdr:col>
      <xdr:colOff>473213</xdr:colOff>
      <xdr:row>27</xdr:row>
      <xdr:rowOff>109882</xdr:rowOff>
    </xdr:from>
    <xdr:to>
      <xdr:col>8</xdr:col>
      <xdr:colOff>323850</xdr:colOff>
      <xdr:row>30</xdr:row>
      <xdr:rowOff>90832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SpPr txBox="1"/>
      </xdr:nvSpPr>
      <xdr:spPr>
        <a:xfrm>
          <a:off x="4130813" y="5081932"/>
          <a:ext cx="1069837" cy="533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2800" b="1">
              <a:solidFill>
                <a:schemeClr val="bg1"/>
              </a:solidFill>
            </a:rPr>
            <a:t>Save</a:t>
          </a:r>
        </a:p>
      </xdr:txBody>
    </xdr:sp>
    <xdr:clientData/>
  </xdr:twoCellAnchor>
  <xdr:twoCellAnchor>
    <xdr:from>
      <xdr:col>12</xdr:col>
      <xdr:colOff>374650</xdr:colOff>
      <xdr:row>27</xdr:row>
      <xdr:rowOff>107950</xdr:rowOff>
    </xdr:from>
    <xdr:to>
      <xdr:col>15</xdr:col>
      <xdr:colOff>184150</xdr:colOff>
      <xdr:row>30</xdr:row>
      <xdr:rowOff>88900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7689850" y="5080000"/>
          <a:ext cx="1638300" cy="533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2800" b="1">
              <a:solidFill>
                <a:schemeClr val="bg1"/>
              </a:solidFill>
            </a:rPr>
            <a:t>Invest</a:t>
          </a:r>
        </a:p>
      </xdr:txBody>
    </xdr:sp>
    <xdr:clientData/>
  </xdr:twoCellAnchor>
  <xdr:twoCellAnchor>
    <xdr:from>
      <xdr:col>18</xdr:col>
      <xdr:colOff>0</xdr:colOff>
      <xdr:row>27</xdr:row>
      <xdr:rowOff>120650</xdr:rowOff>
    </xdr:from>
    <xdr:to>
      <xdr:col>20</xdr:col>
      <xdr:colOff>419100</xdr:colOff>
      <xdr:row>30</xdr:row>
      <xdr:rowOff>101600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0972800" y="5092700"/>
          <a:ext cx="1638300" cy="533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2800" b="1">
              <a:solidFill>
                <a:schemeClr val="bg1"/>
              </a:solidFill>
            </a:rPr>
            <a:t>Payment</a:t>
          </a:r>
        </a:p>
      </xdr:txBody>
    </xdr:sp>
    <xdr:clientData/>
  </xdr:twoCellAnchor>
  <xdr:twoCellAnchor>
    <xdr:from>
      <xdr:col>5</xdr:col>
      <xdr:colOff>454163</xdr:colOff>
      <xdr:row>33</xdr:row>
      <xdr:rowOff>20982</xdr:rowOff>
    </xdr:from>
    <xdr:to>
      <xdr:col>6</xdr:col>
      <xdr:colOff>400931</xdr:colOff>
      <xdr:row>37</xdr:row>
      <xdr:rowOff>60825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3502163" y="6097932"/>
          <a:ext cx="556368" cy="7764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4000" b="1">
              <a:solidFill>
                <a:sysClr val="windowText" lastClr="000000"/>
              </a:solidFill>
            </a:rPr>
            <a:t>$</a:t>
          </a:r>
        </a:p>
      </xdr:txBody>
    </xdr:sp>
    <xdr:clientData/>
  </xdr:twoCellAnchor>
  <xdr:twoCellAnchor>
    <xdr:from>
      <xdr:col>11</xdr:col>
      <xdr:colOff>323850</xdr:colOff>
      <xdr:row>33</xdr:row>
      <xdr:rowOff>38100</xdr:rowOff>
    </xdr:from>
    <xdr:to>
      <xdr:col>12</xdr:col>
      <xdr:colOff>270618</xdr:colOff>
      <xdr:row>37</xdr:row>
      <xdr:rowOff>77943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7029450" y="6115050"/>
          <a:ext cx="556368" cy="7764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4000" b="1">
              <a:solidFill>
                <a:sysClr val="windowText" lastClr="000000"/>
              </a:solidFill>
            </a:rPr>
            <a:t>$</a:t>
          </a:r>
        </a:p>
      </xdr:txBody>
    </xdr:sp>
    <xdr:clientData/>
  </xdr:twoCellAnchor>
  <xdr:twoCellAnchor>
    <xdr:from>
      <xdr:col>17</xdr:col>
      <xdr:colOff>228600</xdr:colOff>
      <xdr:row>33</xdr:row>
      <xdr:rowOff>50800</xdr:rowOff>
    </xdr:from>
    <xdr:to>
      <xdr:col>18</xdr:col>
      <xdr:colOff>175368</xdr:colOff>
      <xdr:row>37</xdr:row>
      <xdr:rowOff>90643</xdr:rowOff>
    </xdr:to>
    <xdr:sp macro="" textlink="">
      <xdr:nvSpPr>
        <xdr:cNvPr id="23552" name="TextBox 23551">
          <a:extLst>
            <a:ext uri="{FF2B5EF4-FFF2-40B4-BE49-F238E27FC236}">
              <a16:creationId xmlns:a16="http://schemas.microsoft.com/office/drawing/2014/main" id="{00000000-0008-0000-0300-0000005C0000}"/>
            </a:ext>
          </a:extLst>
        </xdr:cNvPr>
        <xdr:cNvSpPr txBox="1"/>
      </xdr:nvSpPr>
      <xdr:spPr>
        <a:xfrm>
          <a:off x="10591800" y="6127750"/>
          <a:ext cx="556368" cy="7764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4000" b="1">
              <a:solidFill>
                <a:sysClr val="windowText" lastClr="000000"/>
              </a:solidFill>
            </a:rPr>
            <a:t>$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355600</xdr:colOff>
          <xdr:row>24</xdr:row>
          <xdr:rowOff>31750</xdr:rowOff>
        </xdr:from>
        <xdr:to>
          <xdr:col>12</xdr:col>
          <xdr:colOff>558800</xdr:colOff>
          <xdr:row>25</xdr:row>
          <xdr:rowOff>101600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3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400050</xdr:colOff>
      <xdr:row>32</xdr:row>
      <xdr:rowOff>171450</xdr:rowOff>
    </xdr:from>
    <xdr:to>
      <xdr:col>10</xdr:col>
      <xdr:colOff>107950</xdr:colOff>
      <xdr:row>37</xdr:row>
      <xdr:rowOff>107950</xdr:rowOff>
    </xdr:to>
    <xdr:sp macro="" textlink="DataBase!B11">
      <xdr:nvSpPr>
        <xdr:cNvPr id="23557" name="TextBox 23556">
          <a:extLst>
            <a:ext uri="{FF2B5EF4-FFF2-40B4-BE49-F238E27FC236}">
              <a16:creationId xmlns:a16="http://schemas.microsoft.com/office/drawing/2014/main" id="{00000000-0008-0000-0300-0000055C0000}"/>
            </a:ext>
          </a:extLst>
        </xdr:cNvPr>
        <xdr:cNvSpPr txBox="1"/>
      </xdr:nvSpPr>
      <xdr:spPr>
        <a:xfrm>
          <a:off x="4057650" y="6064250"/>
          <a:ext cx="2146300" cy="857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841F0C00-C60C-40AF-86DC-11A1321E5B2F}" type="TxLink">
            <a:rPr lang="en-US" sz="44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en-CA" sz="4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330200</xdr:colOff>
      <xdr:row>33</xdr:row>
      <xdr:rowOff>0</xdr:rowOff>
    </xdr:from>
    <xdr:to>
      <xdr:col>15</xdr:col>
      <xdr:colOff>603250</xdr:colOff>
      <xdr:row>37</xdr:row>
      <xdr:rowOff>120650</xdr:rowOff>
    </xdr:to>
    <xdr:sp macro="" textlink="DataBase!B12">
      <xdr:nvSpPr>
        <xdr:cNvPr id="23558" name="TextBox 23557">
          <a:extLst>
            <a:ext uri="{FF2B5EF4-FFF2-40B4-BE49-F238E27FC236}">
              <a16:creationId xmlns:a16="http://schemas.microsoft.com/office/drawing/2014/main" id="{00000000-0008-0000-0300-0000065C0000}"/>
            </a:ext>
          </a:extLst>
        </xdr:cNvPr>
        <xdr:cNvSpPr txBox="1"/>
      </xdr:nvSpPr>
      <xdr:spPr>
        <a:xfrm>
          <a:off x="7645400" y="6076950"/>
          <a:ext cx="2101850" cy="857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C1C7614-3EE9-426C-A21B-8422E9655CFB}" type="TxLink">
            <a:rPr lang="en-US" sz="44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en-CA" sz="4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215900</xdr:colOff>
      <xdr:row>33</xdr:row>
      <xdr:rowOff>12700</xdr:rowOff>
    </xdr:from>
    <xdr:to>
      <xdr:col>21</xdr:col>
      <xdr:colOff>482600</xdr:colOff>
      <xdr:row>37</xdr:row>
      <xdr:rowOff>133350</xdr:rowOff>
    </xdr:to>
    <xdr:sp macro="" textlink="DataBase!B13">
      <xdr:nvSpPr>
        <xdr:cNvPr id="23559" name="TextBox 23558">
          <a:extLst>
            <a:ext uri="{FF2B5EF4-FFF2-40B4-BE49-F238E27FC236}">
              <a16:creationId xmlns:a16="http://schemas.microsoft.com/office/drawing/2014/main" id="{00000000-0008-0000-0300-0000075C0000}"/>
            </a:ext>
          </a:extLst>
        </xdr:cNvPr>
        <xdr:cNvSpPr txBox="1"/>
      </xdr:nvSpPr>
      <xdr:spPr>
        <a:xfrm>
          <a:off x="11188700" y="6089650"/>
          <a:ext cx="2095500" cy="857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B3464B19-78C6-4333-A420-45C10AD3CED9}" type="TxLink">
            <a:rPr lang="en-US" sz="44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en-CA" sz="4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rtlCol="0" anchor="t"/>
      <a:lstStyle>
        <a:defPPr algn="l">
          <a:defRPr sz="1200" b="1">
            <a:solidFill>
              <a:sysClr val="windowText" lastClr="000000"/>
            </a:solidFill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5D672-3BDC-45BD-BCBE-B60A4BD50DE0}">
  <sheetPr codeName="Sheet1"/>
  <dimension ref="A1"/>
  <sheetViews>
    <sheetView showGridLines="0" showRowColHeaders="0" workbookViewId="0"/>
  </sheetViews>
  <sheetFormatPr defaultRowHeight="14.5" x14ac:dyDescent="0.35"/>
  <cols>
    <col min="1" max="16384" width="8.7265625" style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ashboard_Button1_Click">
                <anchor moveWithCells="1" sizeWithCells="1">
                  <from>
                    <xdr:col>7</xdr:col>
                    <xdr:colOff>520700</xdr:colOff>
                    <xdr:row>35</xdr:row>
                    <xdr:rowOff>12700</xdr:rowOff>
                  </from>
                  <to>
                    <xdr:col>10</xdr:col>
                    <xdr:colOff>76200</xdr:colOff>
                    <xdr:row>38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B1C3-6A56-4D4C-9CD9-03F549A45A4D}">
  <sheetPr codeName="Sheet2"/>
  <dimension ref="A1"/>
  <sheetViews>
    <sheetView showGridLines="0" showRowColHeaders="0" topLeftCell="A6" workbookViewId="0"/>
  </sheetViews>
  <sheetFormatPr defaultRowHeight="14.5" x14ac:dyDescent="0.35"/>
  <cols>
    <col min="1" max="16384" width="8.7265625" style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317500</xdr:colOff>
                    <xdr:row>20</xdr:row>
                    <xdr:rowOff>146050</xdr:rowOff>
                  </from>
                  <to>
                    <xdr:col>6</xdr:col>
                    <xdr:colOff>603250</xdr:colOff>
                    <xdr:row>23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Button 3">
              <controlPr defaultSize="0" print="0" autoFill="0" autoPict="0" macro="[0]!Income_Button3_Click">
                <anchor moveWithCells="1" sizeWithCells="1">
                  <from>
                    <xdr:col>14</xdr:col>
                    <xdr:colOff>127000</xdr:colOff>
                    <xdr:row>20</xdr:row>
                    <xdr:rowOff>165100</xdr:rowOff>
                  </from>
                  <to>
                    <xdr:col>15</xdr:col>
                    <xdr:colOff>438150</xdr:colOff>
                    <xdr:row>23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6" name="Button 4">
              <controlPr defaultSize="0" print="0" autoFill="0" autoPict="0" macro="[0]!Button4_Click">
                <anchor moveWithCells="1" sizeWithCells="1">
                  <from>
                    <xdr:col>5</xdr:col>
                    <xdr:colOff>368300</xdr:colOff>
                    <xdr:row>34</xdr:row>
                    <xdr:rowOff>158750</xdr:rowOff>
                  </from>
                  <to>
                    <xdr:col>6</xdr:col>
                    <xdr:colOff>571500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7" name="Button 7">
              <controlPr defaultSize="0" print="0" autoFill="0" autoPict="0" macro="[0]!Button7_Click">
                <anchor moveWithCells="1" sizeWithCells="1">
                  <from>
                    <xdr:col>16</xdr:col>
                    <xdr:colOff>393700</xdr:colOff>
                    <xdr:row>34</xdr:row>
                    <xdr:rowOff>76200</xdr:rowOff>
                  </from>
                  <to>
                    <xdr:col>19</xdr:col>
                    <xdr:colOff>107950</xdr:colOff>
                    <xdr:row>37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9991A-DFEB-4FA4-B78C-6E235149139F}">
  <sheetPr codeName="Sheet3"/>
  <dimension ref="G2:AK43"/>
  <sheetViews>
    <sheetView showGridLines="0" showRowColHeaders="0" tabSelected="1" workbookViewId="0"/>
  </sheetViews>
  <sheetFormatPr defaultRowHeight="14.5" x14ac:dyDescent="0.35"/>
  <cols>
    <col min="1" max="6" width="8.7265625" style="1"/>
    <col min="7" max="7" width="8.7265625" style="1" customWidth="1"/>
    <col min="8" max="12" width="8.7265625" style="1"/>
    <col min="13" max="13" width="10.26953125" style="1" customWidth="1"/>
    <col min="14" max="14" width="3.08984375" style="1" customWidth="1"/>
    <col min="15" max="15" width="4" style="1" customWidth="1"/>
    <col min="16" max="16" width="10.453125" style="1" customWidth="1"/>
    <col min="17" max="17" width="16.453125" style="1" customWidth="1"/>
    <col min="18" max="18" width="8.7265625" style="1"/>
    <col min="19" max="19" width="1.6328125" style="1" customWidth="1"/>
    <col min="20" max="20" width="9.26953125" style="1" customWidth="1"/>
    <col min="21" max="21" width="9.81640625" style="1" customWidth="1"/>
    <col min="22" max="22" width="8.7265625" style="1" customWidth="1"/>
    <col min="23" max="16384" width="8.7265625" style="1"/>
  </cols>
  <sheetData>
    <row r="2" spans="7:37" x14ac:dyDescent="0.35">
      <c r="G2" s="4"/>
    </row>
    <row r="6" spans="7:37" x14ac:dyDescent="0.35">
      <c r="AK6"/>
    </row>
    <row r="7" spans="7:37" x14ac:dyDescent="0.35">
      <c r="AK7"/>
    </row>
    <row r="8" spans="7:37" x14ac:dyDescent="0.35">
      <c r="AK8"/>
    </row>
    <row r="9" spans="7:37" x14ac:dyDescent="0.35">
      <c r="AK9"/>
    </row>
    <row r="13" spans="7:37" x14ac:dyDescent="0.35">
      <c r="O13" s="5"/>
      <c r="P13" s="5"/>
      <c r="Q13" s="5"/>
      <c r="R13" s="5"/>
      <c r="S13" s="5"/>
      <c r="T13" s="5"/>
      <c r="U13" s="5"/>
      <c r="V13" s="5"/>
    </row>
    <row r="14" spans="7:37" x14ac:dyDescent="0.35">
      <c r="O14" s="5"/>
      <c r="P14" s="5"/>
      <c r="Q14" s="5"/>
      <c r="R14" s="5"/>
      <c r="S14" s="5"/>
      <c r="T14" s="5"/>
      <c r="U14" s="5"/>
      <c r="V14" s="5"/>
    </row>
    <row r="15" spans="7:37" x14ac:dyDescent="0.35">
      <c r="O15" s="5"/>
      <c r="P15" s="5"/>
      <c r="Q15" s="5"/>
      <c r="R15" s="5"/>
      <c r="S15" s="5"/>
      <c r="T15" s="5"/>
      <c r="U15" s="5"/>
      <c r="V15" s="5"/>
    </row>
    <row r="16" spans="7:37" ht="26" x14ac:dyDescent="0.6">
      <c r="O16" s="6"/>
      <c r="P16" s="7" t="s">
        <v>13</v>
      </c>
      <c r="Q16" s="7" t="s">
        <v>12</v>
      </c>
      <c r="R16" s="7" t="s">
        <v>10</v>
      </c>
      <c r="S16" s="5"/>
      <c r="T16" s="7" t="s">
        <v>11</v>
      </c>
      <c r="U16" s="5"/>
      <c r="V16" s="5"/>
    </row>
    <row r="17" spans="15:22" x14ac:dyDescent="0.35">
      <c r="O17" s="5"/>
      <c r="P17" s="5"/>
      <c r="Q17" s="5"/>
      <c r="R17" s="5"/>
      <c r="S17" s="5"/>
      <c r="T17" s="5"/>
      <c r="U17" s="5"/>
      <c r="V17" s="5"/>
    </row>
    <row r="18" spans="15:22" x14ac:dyDescent="0.35">
      <c r="O18" s="5"/>
      <c r="P18" s="8"/>
      <c r="Q18" s="9"/>
      <c r="R18" s="10"/>
      <c r="S18" s="11"/>
      <c r="T18" s="14"/>
      <c r="U18" s="11"/>
      <c r="V18" s="5"/>
    </row>
    <row r="19" spans="15:22" x14ac:dyDescent="0.35">
      <c r="O19" s="5"/>
      <c r="P19" s="8"/>
      <c r="Q19" s="9"/>
      <c r="R19" s="10"/>
      <c r="S19" s="11"/>
      <c r="T19" s="14"/>
      <c r="U19" s="11"/>
      <c r="V19" s="5"/>
    </row>
    <row r="20" spans="15:22" x14ac:dyDescent="0.35">
      <c r="O20" s="5"/>
      <c r="P20" s="8"/>
      <c r="Q20" s="9"/>
      <c r="R20" s="10"/>
      <c r="S20" s="11"/>
      <c r="T20" s="14"/>
      <c r="U20" s="11"/>
      <c r="V20" s="5"/>
    </row>
    <row r="21" spans="15:22" x14ac:dyDescent="0.35">
      <c r="O21" s="5"/>
      <c r="P21" s="8"/>
      <c r="Q21" s="9"/>
      <c r="R21" s="10"/>
      <c r="S21" s="11"/>
      <c r="T21" s="14"/>
      <c r="U21" s="11"/>
      <c r="V21" s="5"/>
    </row>
    <row r="22" spans="15:22" x14ac:dyDescent="0.35">
      <c r="O22" s="5"/>
      <c r="P22" s="11"/>
      <c r="Q22" s="9"/>
      <c r="R22" s="10"/>
      <c r="S22" s="11"/>
      <c r="T22" s="14"/>
      <c r="U22" s="11"/>
      <c r="V22" s="5"/>
    </row>
    <row r="23" spans="15:22" x14ac:dyDescent="0.35">
      <c r="O23" s="5"/>
      <c r="P23" s="11"/>
      <c r="Q23" s="9"/>
      <c r="R23" s="10"/>
      <c r="S23" s="11"/>
      <c r="T23" s="14"/>
      <c r="U23" s="11"/>
      <c r="V23" s="5"/>
    </row>
    <row r="24" spans="15:22" x14ac:dyDescent="0.35">
      <c r="O24" s="5"/>
      <c r="P24" s="11"/>
      <c r="Q24" s="9"/>
      <c r="R24" s="10"/>
      <c r="S24" s="11"/>
      <c r="T24" s="14"/>
      <c r="U24" s="11"/>
      <c r="V24" s="5"/>
    </row>
    <row r="25" spans="15:22" x14ac:dyDescent="0.35">
      <c r="O25" s="5"/>
      <c r="P25" s="11"/>
      <c r="Q25" s="9"/>
      <c r="R25" s="10"/>
      <c r="S25" s="11"/>
      <c r="T25" s="14"/>
      <c r="U25" s="11"/>
      <c r="V25" s="5"/>
    </row>
    <row r="26" spans="15:22" x14ac:dyDescent="0.35">
      <c r="O26" s="5"/>
      <c r="P26" s="11"/>
      <c r="Q26" s="9"/>
      <c r="R26" s="10"/>
      <c r="S26" s="11"/>
      <c r="T26" s="14"/>
      <c r="U26" s="11"/>
      <c r="V26" s="5"/>
    </row>
    <row r="27" spans="15:22" x14ac:dyDescent="0.35">
      <c r="O27" s="5"/>
      <c r="P27" s="11"/>
      <c r="Q27" s="9"/>
      <c r="R27" s="10"/>
      <c r="S27" s="11"/>
      <c r="T27" s="14"/>
      <c r="U27" s="11"/>
      <c r="V27" s="5"/>
    </row>
    <row r="28" spans="15:22" x14ac:dyDescent="0.35">
      <c r="O28" s="5"/>
      <c r="P28" s="11"/>
      <c r="Q28" s="9"/>
      <c r="R28" s="10"/>
      <c r="S28" s="11"/>
      <c r="T28" s="14"/>
      <c r="U28" s="11"/>
      <c r="V28" s="5"/>
    </row>
    <row r="29" spans="15:22" x14ac:dyDescent="0.35">
      <c r="O29" s="5"/>
      <c r="P29" s="11"/>
      <c r="Q29" s="9"/>
      <c r="R29" s="10"/>
      <c r="S29" s="11"/>
      <c r="T29" s="14"/>
      <c r="U29" s="11"/>
      <c r="V29" s="5"/>
    </row>
    <row r="30" spans="15:22" x14ac:dyDescent="0.35">
      <c r="O30" s="5"/>
      <c r="P30" s="11"/>
      <c r="Q30" s="9"/>
      <c r="R30" s="10"/>
      <c r="S30" s="11"/>
      <c r="T30" s="14"/>
      <c r="U30" s="11"/>
      <c r="V30" s="5"/>
    </row>
    <row r="31" spans="15:22" x14ac:dyDescent="0.35">
      <c r="O31" s="5"/>
      <c r="P31" s="11"/>
      <c r="Q31" s="9"/>
      <c r="R31" s="10"/>
      <c r="S31" s="11"/>
      <c r="T31" s="14"/>
      <c r="U31" s="11"/>
      <c r="V31" s="5"/>
    </row>
    <row r="32" spans="15:22" x14ac:dyDescent="0.35">
      <c r="O32" s="5"/>
      <c r="P32" s="11"/>
      <c r="Q32" s="9"/>
      <c r="R32" s="10"/>
      <c r="S32" s="11"/>
      <c r="T32" s="14"/>
      <c r="U32" s="11"/>
      <c r="V32" s="5"/>
    </row>
    <row r="33" spans="15:22" x14ac:dyDescent="0.35">
      <c r="O33" s="5"/>
      <c r="P33" s="11"/>
      <c r="Q33" s="9"/>
      <c r="R33" s="10"/>
      <c r="S33" s="11"/>
      <c r="T33" s="14"/>
      <c r="U33" s="11"/>
      <c r="V33" s="5"/>
    </row>
    <row r="34" spans="15:22" x14ac:dyDescent="0.35">
      <c r="O34" s="5"/>
      <c r="P34" s="11"/>
      <c r="Q34" s="9"/>
      <c r="R34" s="10"/>
      <c r="S34" s="11"/>
      <c r="T34" s="14"/>
      <c r="U34" s="11"/>
      <c r="V34" s="5"/>
    </row>
    <row r="35" spans="15:22" x14ac:dyDescent="0.35">
      <c r="O35" s="5"/>
      <c r="P35" s="11"/>
      <c r="Q35" s="9"/>
      <c r="R35" s="10"/>
      <c r="S35" s="11"/>
      <c r="T35" s="14"/>
      <c r="U35" s="11"/>
      <c r="V35" s="5"/>
    </row>
    <row r="36" spans="15:22" x14ac:dyDescent="0.35">
      <c r="O36" s="5"/>
      <c r="P36" s="11"/>
      <c r="Q36" s="9"/>
      <c r="R36" s="10"/>
      <c r="S36" s="11"/>
      <c r="T36" s="14"/>
      <c r="U36" s="11"/>
      <c r="V36" s="5"/>
    </row>
    <row r="37" spans="15:22" x14ac:dyDescent="0.35">
      <c r="O37" s="5"/>
      <c r="P37" s="11"/>
      <c r="Q37" s="9"/>
      <c r="R37" s="10"/>
      <c r="S37" s="11"/>
      <c r="T37" s="14"/>
      <c r="U37" s="11"/>
      <c r="V37" s="5"/>
    </row>
    <row r="38" spans="15:22" x14ac:dyDescent="0.35">
      <c r="O38" s="5"/>
      <c r="P38" s="11"/>
      <c r="Q38" s="9"/>
      <c r="R38" s="10"/>
      <c r="S38" s="11"/>
      <c r="T38" s="14"/>
      <c r="U38" s="11"/>
      <c r="V38" s="5"/>
    </row>
    <row r="39" spans="15:22" x14ac:dyDescent="0.35">
      <c r="O39" s="5"/>
      <c r="P39" s="11"/>
      <c r="Q39" s="9"/>
      <c r="R39" s="10"/>
      <c r="S39" s="11"/>
      <c r="T39" s="14"/>
      <c r="U39" s="11"/>
      <c r="V39" s="5"/>
    </row>
    <row r="40" spans="15:22" x14ac:dyDescent="0.35">
      <c r="O40" s="5"/>
      <c r="P40" s="5"/>
      <c r="Q40" s="9"/>
      <c r="R40" s="10"/>
      <c r="S40" s="11"/>
      <c r="T40" s="14"/>
      <c r="U40" s="11"/>
      <c r="V40" s="5"/>
    </row>
    <row r="41" spans="15:22" x14ac:dyDescent="0.35">
      <c r="O41" s="5"/>
      <c r="P41" s="11"/>
      <c r="Q41" s="9"/>
      <c r="R41" s="10"/>
      <c r="S41" s="11"/>
      <c r="T41" s="14"/>
      <c r="U41" s="11"/>
      <c r="V41" s="5"/>
    </row>
    <row r="42" spans="15:22" x14ac:dyDescent="0.35">
      <c r="O42" s="5"/>
      <c r="P42" s="11"/>
      <c r="Q42" s="11"/>
      <c r="R42" s="10" t="s">
        <v>14</v>
      </c>
      <c r="S42" s="11"/>
      <c r="T42" s="15">
        <f>SUM(T18:T41)</f>
        <v>0</v>
      </c>
      <c r="U42" s="11"/>
      <c r="V42" s="5"/>
    </row>
    <row r="43" spans="15:22" x14ac:dyDescent="0.35">
      <c r="O43" s="5"/>
      <c r="P43" s="5"/>
      <c r="Q43" s="5"/>
      <c r="R43" s="5"/>
      <c r="S43" s="5"/>
      <c r="T43" s="5"/>
      <c r="U43" s="5"/>
      <c r="V43" s="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5" r:id="rId4" name="Button 7">
              <controlPr defaultSize="0" print="0" autoFill="0" autoPict="0" macro="[0]!Expenses_Button7_Click">
                <anchor moveWithCells="1" sizeWithCells="1">
                  <from>
                    <xdr:col>8</xdr:col>
                    <xdr:colOff>336550</xdr:colOff>
                    <xdr:row>19</xdr:row>
                    <xdr:rowOff>158750</xdr:rowOff>
                  </from>
                  <to>
                    <xdr:col>10</xdr:col>
                    <xdr:colOff>482600</xdr:colOff>
                    <xdr:row>24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5" name="Button 8">
              <controlPr defaultSize="0" print="0" autoFill="0" autoPict="0" macro="[0]!ClearExpenses">
                <anchor moveWithCells="1" sizeWithCells="1">
                  <from>
                    <xdr:col>14</xdr:col>
                    <xdr:colOff>234950</xdr:colOff>
                    <xdr:row>40</xdr:row>
                    <xdr:rowOff>158750</xdr:rowOff>
                  </from>
                  <to>
                    <xdr:col>16</xdr:col>
                    <xdr:colOff>654050</xdr:colOff>
                    <xdr:row>42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C167D-9A6E-4A74-B065-A96D6934AC3A}">
  <sheetPr codeName="Sheet4"/>
  <dimension ref="A1"/>
  <sheetViews>
    <sheetView showGridLines="0" showRowColHeaders="0" workbookViewId="0"/>
  </sheetViews>
  <sheetFormatPr defaultRowHeight="14.5" x14ac:dyDescent="0.35"/>
  <cols>
    <col min="1" max="16384" width="8.7265625" style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oals_Button1_Click">
                <anchor moveWithCells="1" sizeWithCells="1">
                  <from>
                    <xdr:col>8</xdr:col>
                    <xdr:colOff>184150</xdr:colOff>
                    <xdr:row>14</xdr:row>
                    <xdr:rowOff>177800</xdr:rowOff>
                  </from>
                  <to>
                    <xdr:col>11</xdr:col>
                    <xdr:colOff>38100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2_Click">
                <anchor moveWithCells="1" sizeWithCells="1">
                  <from>
                    <xdr:col>8</xdr:col>
                    <xdr:colOff>177800</xdr:colOff>
                    <xdr:row>18</xdr:row>
                    <xdr:rowOff>63500</xdr:rowOff>
                  </from>
                  <to>
                    <xdr:col>11</xdr:col>
                    <xdr:colOff>44450</xdr:colOff>
                    <xdr:row>20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Button3_Click">
                <anchor moveWithCells="1" sizeWithCells="1">
                  <from>
                    <xdr:col>8</xdr:col>
                    <xdr:colOff>184150</xdr:colOff>
                    <xdr:row>21</xdr:row>
                    <xdr:rowOff>158750</xdr:rowOff>
                  </from>
                  <to>
                    <xdr:col>11</xdr:col>
                    <xdr:colOff>50800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Button 4">
              <controlPr defaultSize="0" print="0" autoFill="0" autoPict="0" macro="[0]!ClearGoals">
                <anchor moveWithCells="1" sizeWithCells="1">
                  <from>
                    <xdr:col>11</xdr:col>
                    <xdr:colOff>355600</xdr:colOff>
                    <xdr:row>24</xdr:row>
                    <xdr:rowOff>31750</xdr:rowOff>
                  </from>
                  <to>
                    <xdr:col>12</xdr:col>
                    <xdr:colOff>558800</xdr:colOff>
                    <xdr:row>25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ECB7C-D6D4-4552-A902-0B3D69D875BF}">
  <sheetPr codeName="Sheet6"/>
  <dimension ref="A1:L18"/>
  <sheetViews>
    <sheetView workbookViewId="0">
      <selection activeCell="C7" sqref="C7"/>
    </sheetView>
  </sheetViews>
  <sheetFormatPr defaultRowHeight="14.5" x14ac:dyDescent="0.35"/>
  <cols>
    <col min="1" max="1" width="13.6328125" customWidth="1"/>
    <col min="2" max="2" width="19.36328125" customWidth="1"/>
    <col min="4" max="4" width="9.7265625" customWidth="1"/>
    <col min="7" max="7" width="10.90625" customWidth="1"/>
  </cols>
  <sheetData>
    <row r="1" spans="1:12" x14ac:dyDescent="0.35">
      <c r="A1" t="s">
        <v>0</v>
      </c>
      <c r="B1" s="13">
        <v>1000</v>
      </c>
      <c r="D1" t="s">
        <v>5</v>
      </c>
      <c r="E1" t="s">
        <v>6</v>
      </c>
      <c r="G1" t="s">
        <v>9</v>
      </c>
      <c r="H1" t="s">
        <v>12</v>
      </c>
      <c r="I1" t="s">
        <v>10</v>
      </c>
      <c r="J1" t="s">
        <v>11</v>
      </c>
    </row>
    <row r="2" spans="1:12" x14ac:dyDescent="0.35">
      <c r="A2" t="s">
        <v>1</v>
      </c>
      <c r="B2" s="13">
        <v>0</v>
      </c>
      <c r="G2" s="3">
        <v>44899</v>
      </c>
      <c r="H2" t="s">
        <v>7</v>
      </c>
      <c r="I2" t="s">
        <v>8</v>
      </c>
      <c r="J2">
        <v>900</v>
      </c>
      <c r="L2" s="2"/>
    </row>
    <row r="3" spans="1:12" x14ac:dyDescent="0.35">
      <c r="A3" t="s">
        <v>2</v>
      </c>
      <c r="B3" s="13">
        <v>1000</v>
      </c>
      <c r="G3" s="2"/>
    </row>
    <row r="4" spans="1:12" x14ac:dyDescent="0.35">
      <c r="A4" t="s">
        <v>3</v>
      </c>
      <c r="B4" s="2">
        <v>44916</v>
      </c>
      <c r="D4">
        <f>MONTH(B4)</f>
        <v>12</v>
      </c>
      <c r="E4">
        <f>YEAR(B4)</f>
        <v>2022</v>
      </c>
      <c r="I4" s="3"/>
    </row>
    <row r="5" spans="1:12" x14ac:dyDescent="0.35">
      <c r="A5" t="s">
        <v>4</v>
      </c>
      <c r="B5" s="12" t="s">
        <v>22</v>
      </c>
      <c r="D5" t="e">
        <f>MONTH(B5)</f>
        <v>#VALUE!</v>
      </c>
      <c r="E5" t="e">
        <f>YEAR(B5)</f>
        <v>#VALUE!</v>
      </c>
    </row>
    <row r="7" spans="1:12" x14ac:dyDescent="0.35">
      <c r="A7" t="s">
        <v>15</v>
      </c>
      <c r="B7" s="13">
        <f>Expenses!T42</f>
        <v>0</v>
      </c>
    </row>
    <row r="9" spans="1:12" x14ac:dyDescent="0.35">
      <c r="A9" t="s">
        <v>16</v>
      </c>
      <c r="B9" s="13">
        <f xml:space="preserve"> B3-B7-B14</f>
        <v>1000</v>
      </c>
    </row>
    <row r="11" spans="1:12" x14ac:dyDescent="0.35">
      <c r="A11" t="s">
        <v>17</v>
      </c>
    </row>
    <row r="12" spans="1:12" x14ac:dyDescent="0.35">
      <c r="A12" t="s">
        <v>18</v>
      </c>
    </row>
    <row r="13" spans="1:12" x14ac:dyDescent="0.35">
      <c r="A13" t="s">
        <v>19</v>
      </c>
    </row>
    <row r="14" spans="1:12" x14ac:dyDescent="0.35">
      <c r="A14" t="s">
        <v>20</v>
      </c>
      <c r="B14" s="13">
        <f>SUM(B11:B13)</f>
        <v>0</v>
      </c>
    </row>
    <row r="16" spans="1:12" x14ac:dyDescent="0.35">
      <c r="A16" t="s">
        <v>21</v>
      </c>
      <c r="B16" s="13">
        <f>B1-B14-B7</f>
        <v>1000</v>
      </c>
    </row>
    <row r="18" spans="2:2" x14ac:dyDescent="0.35">
      <c r="B18" s="13">
        <f>B3/5</f>
        <v>200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Dashboard</vt:lpstr>
      <vt:lpstr>Income</vt:lpstr>
      <vt:lpstr>Expenses</vt:lpstr>
      <vt:lpstr>Goals</vt:lpstr>
      <vt:lpstr>DataBase</vt:lpstr>
      <vt:lpstr>expensesList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Yoon Kim</dc:creator>
  <cp:lastModifiedBy>Yoon</cp:lastModifiedBy>
  <dcterms:created xsi:type="dcterms:W3CDTF">2022-12-04T01:32:21Z</dcterms:created>
  <dcterms:modified xsi:type="dcterms:W3CDTF">2023-02-18T02:49:36Z</dcterms:modified>
</cp:coreProperties>
</file>